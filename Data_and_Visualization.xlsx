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physical science\4th year\Internship\Task 13\career-page-traffic-analysis\"/>
    </mc:Choice>
  </mc:AlternateContent>
  <bookViews>
    <workbookView xWindow="0" yWindow="0" windowWidth="20490" windowHeight="7035" tabRatio="663" activeTab="6"/>
  </bookViews>
  <sheets>
    <sheet name="Raw Data" sheetId="1" r:id="rId1"/>
    <sheet name="Traffic Sources" sheetId="3" r:id="rId2"/>
    <sheet name="Traffic Trends" sheetId="2" r:id="rId3"/>
    <sheet name="Device &amp; Geo" sheetId="4" r:id="rId4"/>
    <sheet name="Conversions" sheetId="5" r:id="rId5"/>
    <sheet name="Benchmarks" sheetId="7" r:id="rId6"/>
    <sheet name="Dashboard" sheetId="6" r:id="rId7"/>
  </sheets>
  <definedNames>
    <definedName name="Slicer_Week">#N/A</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4" l="1"/>
  <c r="I4" i="4"/>
  <c r="I5" i="4"/>
  <c r="I6" i="4"/>
  <c r="I2" i="4"/>
  <c r="C3" i="4"/>
  <c r="C4" i="4"/>
  <c r="C2" i="4"/>
  <c r="C3" i="3"/>
  <c r="C4" i="3"/>
  <c r="C5" i="3"/>
  <c r="C2" i="3"/>
  <c r="D5" i="2"/>
  <c r="D4" i="2"/>
  <c r="D3" i="2"/>
  <c r="D2" i="2"/>
  <c r="C5" i="2"/>
  <c r="C4" i="2"/>
  <c r="C3" i="2"/>
  <c r="C2" i="2"/>
  <c r="B5" i="2"/>
  <c r="B4" i="2"/>
  <c r="B3" i="2"/>
  <c r="B2" i="2"/>
  <c r="E4" i="5" l="1"/>
  <c r="D4" i="5"/>
  <c r="D3" i="5"/>
  <c r="E3" i="5" s="1"/>
  <c r="C3" i="5"/>
  <c r="C4" i="5"/>
  <c r="C2" i="5"/>
  <c r="D3" i="1"/>
  <c r="I5" i="1" s="1"/>
  <c r="D4" i="1"/>
  <c r="D5" i="1"/>
  <c r="I4" i="1" s="1"/>
  <c r="D6" i="1"/>
  <c r="D7" i="1"/>
  <c r="I2" i="1" s="1"/>
  <c r="D8" i="1"/>
  <c r="I8" i="1" s="1"/>
  <c r="D9" i="1"/>
  <c r="I9" i="1" s="1"/>
  <c r="D10" i="1"/>
  <c r="D2" i="1"/>
  <c r="E3" i="7" l="1"/>
  <c r="E4" i="7"/>
  <c r="F4" i="7" s="1"/>
  <c r="E5" i="7"/>
  <c r="E6" i="7"/>
  <c r="F6" i="7" s="1"/>
  <c r="E7" i="7"/>
  <c r="F7" i="7" s="1"/>
  <c r="E8" i="7"/>
  <c r="F8" i="7" s="1"/>
  <c r="E9" i="7"/>
  <c r="F9" i="7" s="1"/>
  <c r="E10" i="7"/>
  <c r="F10" i="7" s="1"/>
  <c r="E2" i="7"/>
  <c r="F2" i="7" s="1"/>
  <c r="F3" i="7"/>
  <c r="F5" i="7" l="1"/>
</calcChain>
</file>

<file path=xl/sharedStrings.xml><?xml version="1.0" encoding="utf-8"?>
<sst xmlns="http://schemas.openxmlformats.org/spreadsheetml/2006/main" count="104" uniqueCount="79">
  <si>
    <t>Metrics</t>
  </si>
  <si>
    <t>Users</t>
  </si>
  <si>
    <t>New Users %</t>
  </si>
  <si>
    <t>Sessions</t>
  </si>
  <si>
    <t>Page views</t>
  </si>
  <si>
    <t>Avg Session (sec)</t>
  </si>
  <si>
    <t>Bounce Rate</t>
  </si>
  <si>
    <t>CV Submissions</t>
  </si>
  <si>
    <t>Contact Forms</t>
  </si>
  <si>
    <t>Apply Clicks</t>
  </si>
  <si>
    <t>Min</t>
  </si>
  <si>
    <t>Max</t>
  </si>
  <si>
    <t>Midpoint</t>
  </si>
  <si>
    <t>Week</t>
  </si>
  <si>
    <t>Week 2 (Feb 8 - 14)</t>
  </si>
  <si>
    <t>Week 4 (Feb 22 -30)</t>
  </si>
  <si>
    <t>Week 3 (Feb 15 -21)</t>
  </si>
  <si>
    <t>Week 1 (Feb 1-7)</t>
  </si>
  <si>
    <t>Page Views</t>
  </si>
  <si>
    <t>Source</t>
  </si>
  <si>
    <t>Percentage</t>
  </si>
  <si>
    <t>Direct Traffic</t>
  </si>
  <si>
    <t>Social Media</t>
  </si>
  <si>
    <t>Referral</t>
  </si>
  <si>
    <t>Device</t>
  </si>
  <si>
    <t>Mobile</t>
  </si>
  <si>
    <t>Desktop</t>
  </si>
  <si>
    <t>Tablet</t>
  </si>
  <si>
    <t>Country</t>
  </si>
  <si>
    <t>Sri Lanka</t>
  </si>
  <si>
    <t>India</t>
  </si>
  <si>
    <t>UAE</t>
  </si>
  <si>
    <t>Maldives</t>
  </si>
  <si>
    <t>Other</t>
  </si>
  <si>
    <t>% Share</t>
  </si>
  <si>
    <t>Stage</t>
  </si>
  <si>
    <t>Apply Now Clicks</t>
  </si>
  <si>
    <t>Contact Form Fills</t>
  </si>
  <si>
    <t>Count</t>
  </si>
  <si>
    <t>Drop-off %</t>
  </si>
  <si>
    <t>Metric</t>
  </si>
  <si>
    <t>Avg Session Duration</t>
  </si>
  <si>
    <t>Pages Per Session</t>
  </si>
  <si>
    <t>Mobile Traffic %</t>
  </si>
  <si>
    <t>New User %</t>
  </si>
  <si>
    <t>Organic Traffic %</t>
  </si>
  <si>
    <t>CV Submission Rate</t>
  </si>
  <si>
    <t>Apply Click Rate</t>
  </si>
  <si>
    <t>Contact Form Rate</t>
  </si>
  <si>
    <t>Industry Benchmark</t>
  </si>
  <si>
    <t>40 - 50%</t>
  </si>
  <si>
    <t>2m 30s -3m 30s</t>
  </si>
  <si>
    <t>3.5 - 5.0</t>
  </si>
  <si>
    <t>60 - 75%</t>
  </si>
  <si>
    <t>55 - 65%</t>
  </si>
  <si>
    <t>35 -50%</t>
  </si>
  <si>
    <t>5 - 8% of sessions</t>
  </si>
  <si>
    <t>2 - 4% of sessions</t>
  </si>
  <si>
    <t>Gamage Recruiters</t>
  </si>
  <si>
    <t>1m 45s</t>
  </si>
  <si>
    <t>Pages per Session</t>
  </si>
  <si>
    <t>Gamage Value</t>
  </si>
  <si>
    <t>Benchmark Low</t>
  </si>
  <si>
    <t>Benchmark High</t>
  </si>
  <si>
    <t>Benchmark Mid</t>
  </si>
  <si>
    <t>Gap</t>
  </si>
  <si>
    <t>Status</t>
  </si>
  <si>
    <t>Below</t>
  </si>
  <si>
    <t>Watch</t>
  </si>
  <si>
    <t>Good</t>
  </si>
  <si>
    <t>Sessions per Month (mid point)</t>
  </si>
  <si>
    <t>Page Views per Month (mid point)</t>
  </si>
  <si>
    <t>Users per Month (mid point)</t>
  </si>
  <si>
    <t>% of Total Clicks</t>
  </si>
  <si>
    <t>People Lost</t>
  </si>
  <si>
    <t>Organic Search</t>
  </si>
  <si>
    <t>-</t>
  </si>
  <si>
    <t>Gamage Recruiters — Career Page Analytics Dashboard</t>
  </si>
  <si>
    <t>Analysis Period: February 2026 | Source: Google Analytics | Career Page: gamagerecruiters.lk</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</si>
</sst>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Calibri"/>
      <family val="2"/>
      <scheme val="minor"/>
    </font>
    <font>
      <sz val="18"/>
      <color theme="1"/>
      <name val="Calibri"/>
      <family val="2"/>
      <scheme val="minor"/>
    </font>
    <font>
      <b/>
      <sz val="20"/>
      <color theme="0"/>
      <name val="Calibri"/>
      <family val="2"/>
      <scheme val="minor"/>
    </font>
    <font>
      <sz val="10"/>
      <color theme="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s>
  <borders count="41">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s>
  <cellStyleXfs count="2">
    <xf numFmtId="0" fontId="0" fillId="0" borderId="0"/>
    <xf numFmtId="9" fontId="1" fillId="0" borderId="0" applyFont="0" applyFill="0" applyBorder="0" applyAlignment="0" applyProtection="0"/>
  </cellStyleXfs>
  <cellXfs count="60">
    <xf numFmtId="0" fontId="0" fillId="0" borderId="0" xfId="0"/>
    <xf numFmtId="9" fontId="0" fillId="0" borderId="0" xfId="0" applyNumberFormat="1"/>
    <xf numFmtId="10" fontId="0" fillId="0" borderId="0" xfId="0" applyNumberFormat="1"/>
    <xf numFmtId="16" fontId="0" fillId="0" borderId="0" xfId="0" applyNumberFormat="1"/>
    <xf numFmtId="2" fontId="0" fillId="0" borderId="0" xfId="0" applyNumberFormat="1"/>
    <xf numFmtId="10" fontId="0" fillId="0" borderId="0" xfId="1" applyNumberFormat="1" applyFont="1"/>
    <xf numFmtId="49" fontId="0" fillId="0" borderId="0" xfId="0" applyNumberFormat="1"/>
    <xf numFmtId="0" fontId="0" fillId="0" borderId="0" xfId="0" applyNumberFormat="1"/>
    <xf numFmtId="9" fontId="0" fillId="0" borderId="0" xfId="1" applyFont="1"/>
    <xf numFmtId="1" fontId="0" fillId="0" borderId="0" xfId="0" applyNumberFormat="1"/>
    <xf numFmtId="49" fontId="0" fillId="2" borderId="7" xfId="0" applyNumberFormat="1" applyFill="1" applyBorder="1"/>
    <xf numFmtId="2" fontId="0" fillId="2" borderId="8" xfId="0" applyNumberFormat="1" applyFill="1" applyBorder="1"/>
    <xf numFmtId="49" fontId="0" fillId="3" borderId="1" xfId="0" applyNumberFormat="1" applyFill="1" applyBorder="1"/>
    <xf numFmtId="49" fontId="0" fillId="3" borderId="3" xfId="0" applyNumberFormat="1" applyFill="1" applyBorder="1"/>
    <xf numFmtId="49" fontId="0" fillId="3" borderId="5" xfId="0" applyNumberFormat="1" applyFill="1" applyBorder="1"/>
    <xf numFmtId="49" fontId="0" fillId="3" borderId="7" xfId="0" applyNumberFormat="1" applyFill="1" applyBorder="1"/>
    <xf numFmtId="2" fontId="0" fillId="3" borderId="8" xfId="0" applyNumberFormat="1" applyFill="1" applyBorder="1"/>
    <xf numFmtId="0" fontId="0" fillId="4" borderId="0" xfId="0" applyFill="1"/>
    <xf numFmtId="9" fontId="0" fillId="0" borderId="0" xfId="1" applyNumberFormat="1" applyFont="1"/>
    <xf numFmtId="1" fontId="0" fillId="3" borderId="2" xfId="0" applyNumberFormat="1" applyFill="1" applyBorder="1"/>
    <xf numFmtId="1" fontId="0" fillId="3" borderId="4" xfId="0" applyNumberFormat="1" applyFill="1" applyBorder="1"/>
    <xf numFmtId="1" fontId="0" fillId="3" borderId="6" xfId="0" applyNumberFormat="1" applyFill="1" applyBorder="1"/>
    <xf numFmtId="0" fontId="3" fillId="5" borderId="0" xfId="0" applyFont="1" applyFill="1" applyAlignment="1">
      <alignment horizontal="center" vertical="center"/>
    </xf>
    <xf numFmtId="0" fontId="0" fillId="5" borderId="0" xfId="0" applyFill="1" applyAlignment="1">
      <alignment horizontal="center" vertical="center"/>
    </xf>
    <xf numFmtId="0" fontId="4" fillId="6" borderId="0" xfId="0" applyFont="1" applyFill="1" applyAlignment="1">
      <alignment horizontal="center" vertical="center"/>
    </xf>
    <xf numFmtId="0" fontId="0" fillId="6" borderId="0" xfId="0" applyFill="1" applyAlignment="1">
      <alignment horizontal="center" vertical="center"/>
    </xf>
    <xf numFmtId="3" fontId="2" fillId="7" borderId="9" xfId="0" applyNumberFormat="1"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0" fillId="7" borderId="20" xfId="0" applyFill="1" applyBorder="1" applyAlignment="1">
      <alignment horizontal="center"/>
    </xf>
    <xf numFmtId="0" fontId="0" fillId="7" borderId="0" xfId="0" applyFill="1" applyBorder="1" applyAlignment="1">
      <alignment horizontal="center"/>
    </xf>
    <xf numFmtId="0" fontId="0" fillId="7" borderId="21" xfId="0" applyFill="1" applyBorder="1" applyAlignment="1">
      <alignment horizontal="center"/>
    </xf>
    <xf numFmtId="0" fontId="0" fillId="7" borderId="22" xfId="0" applyFill="1" applyBorder="1" applyAlignment="1">
      <alignment horizontal="center"/>
    </xf>
    <xf numFmtId="0" fontId="0" fillId="7" borderId="23" xfId="0" applyFill="1" applyBorder="1" applyAlignment="1">
      <alignment horizontal="center"/>
    </xf>
    <xf numFmtId="0" fontId="0" fillId="7" borderId="24" xfId="0" applyFill="1" applyBorder="1" applyAlignment="1">
      <alignment horizontal="center"/>
    </xf>
    <xf numFmtId="0" fontId="0" fillId="7" borderId="25" xfId="0" applyFill="1" applyBorder="1" applyAlignment="1">
      <alignment horizontal="center"/>
    </xf>
    <xf numFmtId="0" fontId="0" fillId="7" borderId="26" xfId="0" applyFill="1" applyBorder="1" applyAlignment="1">
      <alignment horizontal="center"/>
    </xf>
    <xf numFmtId="0" fontId="0" fillId="7" borderId="27" xfId="0" applyFill="1" applyBorder="1" applyAlignment="1">
      <alignment horizontal="center"/>
    </xf>
    <xf numFmtId="0" fontId="0" fillId="7" borderId="28" xfId="0" applyFill="1" applyBorder="1" applyAlignment="1">
      <alignment horizontal="center"/>
    </xf>
    <xf numFmtId="0" fontId="0" fillId="7" borderId="29" xfId="0" applyFill="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7" borderId="32" xfId="0" applyFill="1" applyBorder="1" applyAlignment="1">
      <alignment horizontal="center"/>
    </xf>
    <xf numFmtId="0" fontId="0" fillId="7" borderId="33" xfId="0" applyFill="1" applyBorder="1" applyAlignment="1">
      <alignment horizontal="center"/>
    </xf>
    <xf numFmtId="0" fontId="0" fillId="7" borderId="34" xfId="0" applyFill="1" applyBorder="1" applyAlignment="1">
      <alignment horizontal="center"/>
    </xf>
    <xf numFmtId="0" fontId="0" fillId="7" borderId="35" xfId="0" applyFill="1" applyBorder="1" applyAlignment="1">
      <alignment horizontal="center"/>
    </xf>
    <xf numFmtId="0" fontId="0" fillId="7" borderId="36" xfId="0" applyFill="1" applyBorder="1" applyAlignment="1">
      <alignment horizontal="center"/>
    </xf>
    <xf numFmtId="0" fontId="0" fillId="7" borderId="37" xfId="0" applyFill="1" applyBorder="1" applyAlignment="1">
      <alignment horizontal="center"/>
    </xf>
    <xf numFmtId="0" fontId="0" fillId="7" borderId="38" xfId="0" applyFill="1" applyBorder="1" applyAlignment="1">
      <alignment horizontal="center"/>
    </xf>
    <xf numFmtId="0" fontId="0" fillId="7" borderId="39" xfId="0" applyFill="1" applyBorder="1" applyAlignment="1">
      <alignment horizontal="center"/>
    </xf>
    <xf numFmtId="0" fontId="0" fillId="7" borderId="40" xfId="0" applyFill="1" applyBorder="1" applyAlignment="1">
      <alignment horizontal="center"/>
    </xf>
  </cellXfs>
  <cellStyles count="2">
    <cellStyle name="Normal" xfId="0" builtinId="0"/>
    <cellStyle name="Percent" xfId="1" builtinId="5"/>
  </cellStyles>
  <dxfs count="24">
    <dxf>
      <numFmt numFmtId="2" formatCode="0.00"/>
    </dxf>
    <dxf>
      <numFmt numFmtId="2" formatCode="0.00"/>
    </dxf>
    <dxf>
      <font>
        <color rgb="FF006100"/>
      </font>
      <fill>
        <patternFill>
          <bgColor rgb="FFC6EFCE"/>
        </patternFill>
      </fill>
    </dxf>
    <dxf>
      <font>
        <color rgb="FF9C6500"/>
      </font>
      <fill>
        <patternFill>
          <bgColor rgb="FFFFEB9C"/>
        </patternFill>
      </fill>
    </dxf>
    <dxf>
      <font>
        <color rgb="FF9C0006"/>
      </font>
      <fill>
        <patternFill>
          <bgColor rgb="FFFFC7CE"/>
        </patternFill>
      </fill>
    </dxf>
    <dxf>
      <numFmt numFmtId="14" formatCode="0.00%"/>
    </dxf>
    <dxf>
      <numFmt numFmtId="1" formatCode="0"/>
    </dxf>
    <dxf>
      <numFmt numFmtId="14" formatCode="0.00%"/>
    </dxf>
    <dxf>
      <numFmt numFmtId="1" formatCode="0"/>
    </dxf>
    <dxf>
      <numFmt numFmtId="30" formatCode="@"/>
    </dxf>
    <dxf>
      <numFmt numFmtId="1" formatCode="0"/>
    </dxf>
    <dxf>
      <numFmt numFmtId="13" formatCode="0%"/>
    </dxf>
    <dxf>
      <numFmt numFmtId="30" formatCode="@"/>
    </dxf>
    <dxf>
      <numFmt numFmtId="1" formatCode="0"/>
    </dxf>
    <dxf>
      <numFmt numFmtId="13" formatCode="0%"/>
    </dxf>
    <dxf>
      <numFmt numFmtId="30" formatCode="@"/>
    </dxf>
    <dxf>
      <numFmt numFmtId="1" formatCode="0"/>
    </dxf>
    <dxf>
      <numFmt numFmtId="1" formatCode="0"/>
    </dxf>
    <dxf>
      <numFmt numFmtId="1" formatCode="0"/>
    </dxf>
    <dxf>
      <numFmt numFmtId="1" formatCode="0"/>
    </dxf>
    <dxf>
      <numFmt numFmtId="13" formatCode="0%"/>
    </dxf>
    <dxf>
      <numFmt numFmtId="30" formatCode="@"/>
    </dxf>
    <dxf>
      <numFmt numFmtId="1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Sources — Career Page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'Traffic Sources'!$B$1</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'Traffic Sources'!$A$2:$A$5</c:f>
              <c:strCache>
                <c:ptCount val="4"/>
                <c:pt idx="0">
                  <c:v>Organic Search</c:v>
                </c:pt>
                <c:pt idx="1">
                  <c:v>Direct Traffic</c:v>
                </c:pt>
                <c:pt idx="2">
                  <c:v>Social Media</c:v>
                </c:pt>
                <c:pt idx="3">
                  <c:v>Referral</c:v>
                </c:pt>
              </c:strCache>
            </c:strRef>
          </c:cat>
          <c:val>
            <c:numRef>
              <c:f>'Traffic Sources'!$B$2:$B$5</c:f>
              <c:numCache>
                <c:formatCode>0%</c:formatCode>
                <c:ptCount val="4"/>
                <c:pt idx="0">
                  <c:v>0.45</c:v>
                </c:pt>
                <c:pt idx="1">
                  <c:v>0.25</c:v>
                </c:pt>
                <c:pt idx="2">
                  <c:v>0.2</c:v>
                </c:pt>
                <c:pt idx="3">
                  <c:v>0.1</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Weekly Traffic Trend — February 2026</a:t>
            </a:r>
            <a:endParaRPr lang="en-US" sz="1400"/>
          </a:p>
        </c:rich>
      </c:tx>
      <c:layout>
        <c:manualLayout>
          <c:xMode val="edge"/>
          <c:yMode val="edge"/>
          <c:x val="0.13710411198600175"/>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735870516185476"/>
          <c:y val="0.16650517643627877"/>
          <c:w val="0.86486351706036746"/>
          <c:h val="0.61498432487605714"/>
        </c:manualLayout>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'Traffic Trends'!$A$2:$A$5</c:f>
              <c:strCache>
                <c:ptCount val="4"/>
                <c:pt idx="0">
                  <c:v>Week 1 (Feb 1-7)</c:v>
                </c:pt>
                <c:pt idx="1">
                  <c:v>Week 2 (Feb 8 - 14)</c:v>
                </c:pt>
                <c:pt idx="2">
                  <c:v>Week 3 (Feb 15 -21)</c:v>
                </c:pt>
                <c:pt idx="3">
                  <c:v>Week 4 (Feb 22 -30)</c:v>
                </c:pt>
              </c:strCache>
            </c:strRef>
          </c:cat>
          <c:val>
            <c:numRef>
              <c:f>'Traffic Trends'!$B$2:$B$5</c:f>
              <c:numCache>
                <c:formatCode>0</c:formatCode>
                <c:ptCount val="4"/>
                <c:pt idx="0">
                  <c:v>3785</c:v>
                </c:pt>
                <c:pt idx="1">
                  <c:v>4220</c:v>
                </c:pt>
                <c:pt idx="2">
                  <c:v>4611</c:v>
                </c:pt>
                <c:pt idx="3">
                  <c:v>4350</c:v>
                </c:pt>
              </c:numCache>
            </c:numRef>
          </c:val>
          <c:smooth val="0"/>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'Traffic Trends'!$A$2:$A$5</c:f>
              <c:strCache>
                <c:ptCount val="4"/>
                <c:pt idx="0">
                  <c:v>Week 1 (Feb 1-7)</c:v>
                </c:pt>
                <c:pt idx="1">
                  <c:v>Week 2 (Feb 8 - 14)</c:v>
                </c:pt>
                <c:pt idx="2">
                  <c:v>Week 3 (Feb 15 -21)</c:v>
                </c:pt>
                <c:pt idx="3">
                  <c:v>Week 4 (Feb 22 -30)</c:v>
                </c:pt>
              </c:strCache>
            </c:strRef>
          </c:cat>
          <c:val>
            <c:numRef>
              <c:f>'Traffic Trends'!$C$2:$C$5</c:f>
              <c:numCache>
                <c:formatCode>0</c:formatCode>
                <c:ptCount val="4"/>
                <c:pt idx="0">
                  <c:v>10005</c:v>
                </c:pt>
                <c:pt idx="1">
                  <c:v>11155</c:v>
                </c:pt>
                <c:pt idx="2">
                  <c:v>12190</c:v>
                </c:pt>
                <c:pt idx="3">
                  <c:v>11500</c:v>
                </c:pt>
              </c:numCache>
            </c:numRef>
          </c:val>
          <c:smooth val="0"/>
        </c:ser>
        <c:ser>
          <c:idx val="2"/>
          <c:order val="2"/>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'Traffic Trends'!$A$2:$A$5</c:f>
              <c:strCache>
                <c:ptCount val="4"/>
                <c:pt idx="0">
                  <c:v>Week 1 (Feb 1-7)</c:v>
                </c:pt>
                <c:pt idx="1">
                  <c:v>Week 2 (Feb 8 - 14)</c:v>
                </c:pt>
                <c:pt idx="2">
                  <c:v>Week 3 (Feb 15 -21)</c:v>
                </c:pt>
                <c:pt idx="3">
                  <c:v>Week 4 (Feb 22 -30)</c:v>
                </c:pt>
              </c:strCache>
            </c:strRef>
          </c:cat>
          <c:val>
            <c:numRef>
              <c:f>'Traffic Trends'!$D$2:$D$5</c:f>
              <c:numCache>
                <c:formatCode>0</c:formatCode>
                <c:ptCount val="4"/>
                <c:pt idx="0">
                  <c:v>3067</c:v>
                </c:pt>
                <c:pt idx="1">
                  <c:v>3419</c:v>
                </c:pt>
                <c:pt idx="2">
                  <c:v>3737</c:v>
                </c:pt>
                <c:pt idx="3">
                  <c:v>3525</c:v>
                </c:pt>
              </c:numCache>
            </c:numRef>
          </c:val>
          <c:smooth val="0"/>
        </c:ser>
        <c:dLbls>
          <c:dLblPos val="ctr"/>
          <c:showLegendKey val="0"/>
          <c:showVal val="1"/>
          <c:showCatName val="0"/>
          <c:showSerName val="0"/>
          <c:showPercent val="0"/>
          <c:showBubbleSize val="0"/>
        </c:dLbls>
        <c:smooth val="0"/>
        <c:axId val="1871822784"/>
        <c:axId val="1871827680"/>
      </c:lineChart>
      <c:catAx>
        <c:axId val="1871822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7680"/>
        <c:crosses val="autoZero"/>
        <c:auto val="1"/>
        <c:lblAlgn val="ctr"/>
        <c:lblOffset val="100"/>
        <c:noMultiLvlLbl val="0"/>
      </c:catAx>
      <c:valAx>
        <c:axId val="18718276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2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Device Breakdown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'Device &amp; Geo'!$B$1</c:f>
              <c:strCache>
                <c:ptCount val="1"/>
                <c:pt idx="0">
                  <c:v>Percentage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'Device &amp; Geo'!$A$2:$A$4</c:f>
              <c:strCache>
                <c:ptCount val="3"/>
                <c:pt idx="0">
                  <c:v>Mobile</c:v>
                </c:pt>
                <c:pt idx="1">
                  <c:v>Desktop</c:v>
                </c:pt>
                <c:pt idx="2">
                  <c:v>Tablet</c:v>
                </c:pt>
              </c:strCache>
            </c:strRef>
          </c:cat>
          <c:val>
            <c:numRef>
              <c:f>'Device &amp; Geo'!$B$2:$B$4</c:f>
              <c:numCache>
                <c:formatCode>0%</c:formatCode>
                <c:ptCount val="3"/>
                <c:pt idx="0">
                  <c:v>0.7</c:v>
                </c:pt>
                <c:pt idx="1">
                  <c:v>0.27</c:v>
                </c:pt>
                <c:pt idx="2">
                  <c:v>0.03</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Visitors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'Device &amp; Geo'!$H$1</c:f>
              <c:strCache>
                <c:ptCount val="1"/>
                <c:pt idx="0">
                  <c:v>% Share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'Device &amp; Geo'!$G$2:$G$6</c:f>
              <c:strCache>
                <c:ptCount val="5"/>
                <c:pt idx="0">
                  <c:v>Sri Lanka</c:v>
                </c:pt>
                <c:pt idx="1">
                  <c:v>India</c:v>
                </c:pt>
                <c:pt idx="2">
                  <c:v>UAE</c:v>
                </c:pt>
                <c:pt idx="3">
                  <c:v>Maldives</c:v>
                </c:pt>
                <c:pt idx="4">
                  <c:v>Other</c:v>
                </c:pt>
              </c:strCache>
            </c:strRef>
          </c:cat>
          <c:val>
            <c:numRef>
              <c:f>'Device &amp; Geo'!$H$2:$H$6</c:f>
              <c:numCache>
                <c:formatCode>0%</c:formatCode>
                <c:ptCount val="5"/>
                <c:pt idx="0">
                  <c:v>0.75</c:v>
                </c:pt>
                <c:pt idx="1">
                  <c:v>0.1</c:v>
                </c:pt>
                <c:pt idx="2">
                  <c:v>0.05</c:v>
                </c:pt>
                <c:pt idx="3">
                  <c:v>0.03</c:v>
                </c:pt>
                <c:pt idx="4">
                  <c:v>7.0000000000000007E-2</c:v>
                </c:pt>
              </c:numCache>
            </c:numRef>
          </c:val>
        </c:ser>
        <c:dLbls>
          <c:showLegendKey val="0"/>
          <c:showVal val="1"/>
          <c:showCatName val="0"/>
          <c:showSerName val="0"/>
          <c:showPercent val="0"/>
          <c:showBubbleSize val="0"/>
        </c:dLbls>
        <c:gapWidth val="65"/>
        <c:shape val="box"/>
        <c:axId val="1871820608"/>
        <c:axId val="1871824416"/>
        <c:axId val="0"/>
      </c:bar3DChart>
      <c:catAx>
        <c:axId val="18718206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1824416"/>
        <c:crosses val="autoZero"/>
        <c:auto val="1"/>
        <c:lblAlgn val="ctr"/>
        <c:lblOffset val="100"/>
        <c:noMultiLvlLbl val="0"/>
      </c:catAx>
      <c:valAx>
        <c:axId val="187182441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Percentage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718206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Stage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Conversions!$A$2:$A$4</c15:sqref>
                  </c15:fullRef>
                </c:ext>
              </c:extLst>
              <c:f>Conversions!$A$3:$A$4</c:f>
              <c:strCache>
                <c:ptCount val="2"/>
                <c:pt idx="0">
                  <c:v>CV Submissions</c:v>
                </c:pt>
                <c:pt idx="1">
                  <c:v>Contact Form Fills</c:v>
                </c:pt>
              </c:strCache>
            </c:strRef>
          </c:cat>
          <c:val>
            <c:numRef>
              <c:extLst>
                <c:ext xmlns:c15="http://schemas.microsoft.com/office/drawing/2012/chart" uri="{02D57815-91ED-43cb-92C2-25804820EDAC}">
                  <c15:fullRef>
                    <c15:sqref>Conversions!$B$2:$B$4</c15:sqref>
                  </c15:fullRef>
                </c:ext>
              </c:extLst>
              <c:f>Conversions!$B$3:$B$4</c:f>
              <c:numCache>
                <c:formatCode>0</c:formatCode>
                <c:ptCount val="2"/>
                <c:pt idx="0">
                  <c:v>160</c:v>
                </c:pt>
                <c:pt idx="1">
                  <c:v>60</c:v>
                </c:pt>
              </c:numCache>
            </c:numRef>
          </c:val>
        </c:ser>
        <c:dLbls>
          <c:dLblPos val="ctr"/>
          <c:showLegendKey val="0"/>
          <c:showVal val="1"/>
          <c:showCatName val="0"/>
          <c:showSerName val="0"/>
          <c:showPercent val="0"/>
          <c:showBubbleSize val="0"/>
        </c:dLbls>
        <c:gapWidth val="150"/>
        <c:overlap val="100"/>
        <c:axId val="1871826592"/>
        <c:axId val="1871833664"/>
      </c:barChart>
      <c:catAx>
        <c:axId val="18718265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1833664"/>
        <c:crosses val="autoZero"/>
        <c:auto val="1"/>
        <c:lblAlgn val="ctr"/>
        <c:lblOffset val="100"/>
        <c:noMultiLvlLbl val="0"/>
      </c:catAx>
      <c:valAx>
        <c:axId val="187183366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718265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baseline="0">
                <a:effectLst>
                  <a:outerShdw blurRad="50800" dist="38100" dir="5400000" algn="t" rotWithShape="0">
                    <a:prstClr val="black">
                      <a:alpha val="40000"/>
                    </a:prstClr>
                  </a:outerShdw>
                </a:effectLst>
              </a:rPr>
              <a:t>Gamage Recruiters vs Industry Benchmark</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4151246719160105"/>
          <c:y val="0.16708333333333336"/>
          <c:w val="0.7089319772528434"/>
          <c:h val="0.61498432487605714"/>
        </c:manualLayout>
      </c:layout>
      <c:barChart>
        <c:barDir val="bar"/>
        <c:grouping val="clustered"/>
        <c:varyColors val="0"/>
        <c:ser>
          <c:idx val="0"/>
          <c:order val="0"/>
          <c:tx>
            <c:strRef>
              <c:f>Benchmarks!$B$1</c:f>
              <c:strCache>
                <c:ptCount val="1"/>
                <c:pt idx="0">
                  <c:v>Gamage Value</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Benchmarks!$A$2:$A$10</c15:sqref>
                  </c15:fullRef>
                </c:ext>
              </c:extLst>
              <c:f>(Benchmarks!$A$2,Benchmarks!$A$4:$A$10)</c:f>
              <c:strCache>
                <c:ptCount val="8"/>
                <c:pt idx="0">
                  <c:v>Bounce Rate</c:v>
                </c:pt>
                <c:pt idx="1">
                  <c:v>Pages per Session</c:v>
                </c:pt>
                <c:pt idx="2">
                  <c:v>New User %</c:v>
                </c:pt>
                <c:pt idx="3">
                  <c:v>Mobile Traffic %</c:v>
                </c:pt>
                <c:pt idx="4">
                  <c:v>Organic Traffic %</c:v>
                </c:pt>
                <c:pt idx="5">
                  <c:v>CV Submission Rate</c:v>
                </c:pt>
                <c:pt idx="6">
                  <c:v>Apply Click Rate</c:v>
                </c:pt>
                <c:pt idx="7">
                  <c:v>Contact Form Rate</c:v>
                </c:pt>
              </c:strCache>
            </c:strRef>
          </c:cat>
          <c:val>
            <c:numRef>
              <c:extLst>
                <c:ext xmlns:c15="http://schemas.microsoft.com/office/drawing/2012/chart" uri="{02D57815-91ED-43cb-92C2-25804820EDAC}">
                  <c15:fullRef>
                    <c15:sqref>Benchmarks!$B$2:$B$10</c15:sqref>
                  </c15:fullRef>
                </c:ext>
              </c:extLst>
              <c:f>(Benchmarks!$B$2,Benchmarks!$B$4:$B$10)</c:f>
              <c:numCache>
                <c:formatCode>General</c:formatCode>
                <c:ptCount val="8"/>
                <c:pt idx="0" formatCode="0%">
                  <c:v>0.56499999999999995</c:v>
                </c:pt>
                <c:pt idx="1">
                  <c:v>2.64</c:v>
                </c:pt>
                <c:pt idx="2" formatCode="0.00%">
                  <c:v>0.88500000000000001</c:v>
                </c:pt>
                <c:pt idx="3" formatCode="0%">
                  <c:v>0.7</c:v>
                </c:pt>
                <c:pt idx="4" formatCode="0%">
                  <c:v>0.45</c:v>
                </c:pt>
                <c:pt idx="5" formatCode="0%">
                  <c:v>3.6799999999999999E-2</c:v>
                </c:pt>
                <c:pt idx="6" formatCode="0%">
                  <c:v>0.185</c:v>
                </c:pt>
                <c:pt idx="7" formatCode="0%">
                  <c:v>1.38E-2</c:v>
                </c:pt>
              </c:numCache>
            </c:numRef>
          </c:val>
        </c:ser>
        <c:ser>
          <c:idx val="1"/>
          <c:order val="1"/>
          <c:tx>
            <c:strRef>
              <c:f>Benchmarks!$E$1</c:f>
              <c:strCache>
                <c:ptCount val="1"/>
                <c:pt idx="0">
                  <c:v>Benchmark Mid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Benchmarks!$A$2:$A$10</c15:sqref>
                  </c15:fullRef>
                </c:ext>
              </c:extLst>
              <c:f>(Benchmarks!$A$2,Benchmarks!$A$4:$A$10)</c:f>
              <c:strCache>
                <c:ptCount val="8"/>
                <c:pt idx="0">
                  <c:v>Bounce Rate</c:v>
                </c:pt>
                <c:pt idx="1">
                  <c:v>Pages per Session</c:v>
                </c:pt>
                <c:pt idx="2">
                  <c:v>New User %</c:v>
                </c:pt>
                <c:pt idx="3">
                  <c:v>Mobile Traffic %</c:v>
                </c:pt>
                <c:pt idx="4">
                  <c:v>Organic Traffic %</c:v>
                </c:pt>
                <c:pt idx="5">
                  <c:v>CV Submission Rate</c:v>
                </c:pt>
                <c:pt idx="6">
                  <c:v>Apply Click Rate</c:v>
                </c:pt>
                <c:pt idx="7">
                  <c:v>Contact Form Rate</c:v>
                </c:pt>
              </c:strCache>
            </c:strRef>
          </c:cat>
          <c:val>
            <c:numRef>
              <c:extLst>
                <c:ext xmlns:c15="http://schemas.microsoft.com/office/drawing/2012/chart" uri="{02D57815-91ED-43cb-92C2-25804820EDAC}">
                  <c15:fullRef>
                    <c15:sqref>Benchmarks!$E$2:$E$10</c15:sqref>
                  </c15:fullRef>
                </c:ext>
              </c:extLst>
              <c:f>(Benchmarks!$E$2,Benchmarks!$E$4:$E$10)</c:f>
              <c:numCache>
                <c:formatCode>General</c:formatCode>
                <c:ptCount val="8"/>
                <c:pt idx="0" formatCode="0%">
                  <c:v>0.45</c:v>
                </c:pt>
                <c:pt idx="1">
                  <c:v>4.25</c:v>
                </c:pt>
                <c:pt idx="2" formatCode="0%">
                  <c:v>0.67500000000000004</c:v>
                </c:pt>
                <c:pt idx="3" formatCode="0%">
                  <c:v>0.60000000000000009</c:v>
                </c:pt>
                <c:pt idx="4" formatCode="0%">
                  <c:v>0.42499999999999999</c:v>
                </c:pt>
                <c:pt idx="5" formatCode="0%">
                  <c:v>6.5000000000000002E-2</c:v>
                </c:pt>
                <c:pt idx="6" formatCode="0%">
                  <c:v>0.2</c:v>
                </c:pt>
                <c:pt idx="7" formatCode="0%">
                  <c:v>0.03</c:v>
                </c:pt>
              </c:numCache>
            </c:numRef>
          </c:val>
        </c:ser>
        <c:dLbls>
          <c:showLegendKey val="0"/>
          <c:showVal val="0"/>
          <c:showCatName val="0"/>
          <c:showSerName val="0"/>
          <c:showPercent val="0"/>
          <c:showBubbleSize val="0"/>
        </c:dLbls>
        <c:gapWidth val="115"/>
        <c:overlap val="-20"/>
        <c:axId val="1871821696"/>
        <c:axId val="1871828224"/>
      </c:barChart>
      <c:catAx>
        <c:axId val="1871821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8224"/>
        <c:crosses val="autoZero"/>
        <c:auto val="1"/>
        <c:lblAlgn val="ctr"/>
        <c:lblOffset val="100"/>
        <c:noMultiLvlLbl val="0"/>
      </c:catAx>
      <c:valAx>
        <c:axId val="187182822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1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Weekly Traffic Trend — February 2026</a:t>
            </a:r>
            <a:endParaRPr lang="en-US" sz="1400"/>
          </a:p>
        </c:rich>
      </c:tx>
      <c:layout>
        <c:manualLayout>
          <c:xMode val="edge"/>
          <c:yMode val="edge"/>
          <c:x val="0.13710411198600175"/>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735870516185476"/>
          <c:y val="0.16650517643627877"/>
          <c:w val="0.86486351706036746"/>
          <c:h val="0.61498432487605714"/>
        </c:manualLayout>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'Traffic Trends'!$A$2:$A$5</c:f>
              <c:strCache>
                <c:ptCount val="4"/>
                <c:pt idx="0">
                  <c:v>Week 1 (Feb 1-7)</c:v>
                </c:pt>
                <c:pt idx="1">
                  <c:v>Week 2 (Feb 8 - 14)</c:v>
                </c:pt>
                <c:pt idx="2">
                  <c:v>Week 3 (Feb 15 -21)</c:v>
                </c:pt>
                <c:pt idx="3">
                  <c:v>Week 4 (Feb 22 -30)</c:v>
                </c:pt>
              </c:strCache>
            </c:strRef>
          </c:cat>
          <c:val>
            <c:numRef>
              <c:f>'Traffic Trends'!$B$2:$B$5</c:f>
              <c:numCache>
                <c:formatCode>0</c:formatCode>
                <c:ptCount val="4"/>
                <c:pt idx="0">
                  <c:v>3785</c:v>
                </c:pt>
                <c:pt idx="1">
                  <c:v>4220</c:v>
                </c:pt>
                <c:pt idx="2">
                  <c:v>4611</c:v>
                </c:pt>
                <c:pt idx="3">
                  <c:v>4350</c:v>
                </c:pt>
              </c:numCache>
            </c:numRef>
          </c:val>
          <c:smooth val="0"/>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'Traffic Trends'!$A$2:$A$5</c:f>
              <c:strCache>
                <c:ptCount val="4"/>
                <c:pt idx="0">
                  <c:v>Week 1 (Feb 1-7)</c:v>
                </c:pt>
                <c:pt idx="1">
                  <c:v>Week 2 (Feb 8 - 14)</c:v>
                </c:pt>
                <c:pt idx="2">
                  <c:v>Week 3 (Feb 15 -21)</c:v>
                </c:pt>
                <c:pt idx="3">
                  <c:v>Week 4 (Feb 22 -30)</c:v>
                </c:pt>
              </c:strCache>
            </c:strRef>
          </c:cat>
          <c:val>
            <c:numRef>
              <c:f>'Traffic Trends'!$C$2:$C$5</c:f>
              <c:numCache>
                <c:formatCode>0</c:formatCode>
                <c:ptCount val="4"/>
                <c:pt idx="0">
                  <c:v>10005</c:v>
                </c:pt>
                <c:pt idx="1">
                  <c:v>11155</c:v>
                </c:pt>
                <c:pt idx="2">
                  <c:v>12190</c:v>
                </c:pt>
                <c:pt idx="3">
                  <c:v>11500</c:v>
                </c:pt>
              </c:numCache>
            </c:numRef>
          </c:val>
          <c:smooth val="0"/>
        </c:ser>
        <c:ser>
          <c:idx val="2"/>
          <c:order val="2"/>
          <c:spPr>
            <a:ln w="34925" cap="rnd">
              <a:solidFill>
                <a:srgbClr val="00B050"/>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'Traffic Trends'!$A$2:$A$5</c:f>
              <c:strCache>
                <c:ptCount val="4"/>
                <c:pt idx="0">
                  <c:v>Week 1 (Feb 1-7)</c:v>
                </c:pt>
                <c:pt idx="1">
                  <c:v>Week 2 (Feb 8 - 14)</c:v>
                </c:pt>
                <c:pt idx="2">
                  <c:v>Week 3 (Feb 15 -21)</c:v>
                </c:pt>
                <c:pt idx="3">
                  <c:v>Week 4 (Feb 22 -30)</c:v>
                </c:pt>
              </c:strCache>
            </c:strRef>
          </c:cat>
          <c:val>
            <c:numRef>
              <c:f>'Traffic Trends'!$D$2:$D$5</c:f>
              <c:numCache>
                <c:formatCode>0</c:formatCode>
                <c:ptCount val="4"/>
                <c:pt idx="0">
                  <c:v>3067</c:v>
                </c:pt>
                <c:pt idx="1">
                  <c:v>3419</c:v>
                </c:pt>
                <c:pt idx="2">
                  <c:v>3737</c:v>
                </c:pt>
                <c:pt idx="3">
                  <c:v>3525</c:v>
                </c:pt>
              </c:numCache>
            </c:numRef>
          </c:val>
          <c:smooth val="0"/>
        </c:ser>
        <c:dLbls>
          <c:dLblPos val="ctr"/>
          <c:showLegendKey val="0"/>
          <c:showVal val="1"/>
          <c:showCatName val="0"/>
          <c:showSerName val="0"/>
          <c:showPercent val="0"/>
          <c:showBubbleSize val="0"/>
        </c:dLbls>
        <c:smooth val="0"/>
        <c:axId val="1871820064"/>
        <c:axId val="1871823328"/>
      </c:lineChart>
      <c:catAx>
        <c:axId val="1871820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3328"/>
        <c:crosses val="autoZero"/>
        <c:auto val="1"/>
        <c:lblAlgn val="ctr"/>
        <c:lblOffset val="100"/>
        <c:noMultiLvlLbl val="0"/>
      </c:catAx>
      <c:valAx>
        <c:axId val="18718233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18200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Sources — Career Page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'Traffic Sources'!$B$1</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solidFill>
                <a:srgbClr val="00B050"/>
              </a:solidFill>
              <a:ln>
                <a:noFill/>
              </a:ln>
              <a:effectLst>
                <a:outerShdw blurRad="57150" dist="19050" dir="5400000" algn="ctr" rotWithShape="0">
                  <a:srgbClr val="000000">
                    <a:alpha val="63000"/>
                  </a:srgbClr>
                </a:outerShdw>
              </a:effectLst>
              <a:sp3d/>
            </c:spPr>
          </c:dPt>
          <c:dPt>
            <c:idx val="3"/>
            <c:bubble3D val="0"/>
            <c:spPr>
              <a:solidFill>
                <a:srgbClr val="7030A0"/>
              </a:soli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'Traffic Sources'!$A$2:$A$5</c:f>
              <c:strCache>
                <c:ptCount val="4"/>
                <c:pt idx="0">
                  <c:v>Organic Search</c:v>
                </c:pt>
                <c:pt idx="1">
                  <c:v>Direct Traffic</c:v>
                </c:pt>
                <c:pt idx="2">
                  <c:v>Social Media</c:v>
                </c:pt>
                <c:pt idx="3">
                  <c:v>Referral</c:v>
                </c:pt>
              </c:strCache>
            </c:strRef>
          </c:cat>
          <c:val>
            <c:numRef>
              <c:f>'Traffic Sources'!$B$2:$B$5</c:f>
              <c:numCache>
                <c:formatCode>0%</c:formatCode>
                <c:ptCount val="4"/>
                <c:pt idx="0">
                  <c:v>0.45</c:v>
                </c:pt>
                <c:pt idx="1">
                  <c:v>0.25</c:v>
                </c:pt>
                <c:pt idx="2">
                  <c:v>0.2</c:v>
                </c:pt>
                <c:pt idx="3">
                  <c:v>0.1</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Device Breakdown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'Device &amp; Geo'!$B$1</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solidFill>
                <a:srgbClr val="00B050"/>
              </a:soli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'Device &amp; Geo'!$A$2:$A$4</c:f>
              <c:strCache>
                <c:ptCount val="3"/>
                <c:pt idx="0">
                  <c:v>Mobile</c:v>
                </c:pt>
                <c:pt idx="1">
                  <c:v>Desktop</c:v>
                </c:pt>
                <c:pt idx="2">
                  <c:v>Tablet</c:v>
                </c:pt>
              </c:strCache>
            </c:strRef>
          </c:cat>
          <c:val>
            <c:numRef>
              <c:f>'Device &amp; Geo'!$B$2:$B$4</c:f>
              <c:numCache>
                <c:formatCode>0%</c:formatCode>
                <c:ptCount val="3"/>
                <c:pt idx="0">
                  <c:v>0.7</c:v>
                </c:pt>
                <c:pt idx="1">
                  <c:v>0.27</c:v>
                </c:pt>
                <c:pt idx="2">
                  <c:v>0.03</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Visitors by Country</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'Device &amp; Geo'!$H$1</c:f>
              <c:strCache>
                <c:ptCount val="1"/>
                <c:pt idx="0">
                  <c:v>% Share</c:v>
                </c:pt>
              </c:strCache>
            </c:strRef>
          </c:tx>
          <c:spPr>
            <a:solidFill>
              <a:srgbClr val="00B0F0">
                <a:alpha val="91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'Device &amp; Geo'!$G$2:$G$6</c:f>
              <c:strCache>
                <c:ptCount val="5"/>
                <c:pt idx="0">
                  <c:v>Sri Lanka</c:v>
                </c:pt>
                <c:pt idx="1">
                  <c:v>India</c:v>
                </c:pt>
                <c:pt idx="2">
                  <c:v>UAE</c:v>
                </c:pt>
                <c:pt idx="3">
                  <c:v>Maldives</c:v>
                </c:pt>
                <c:pt idx="4">
                  <c:v>Other</c:v>
                </c:pt>
              </c:strCache>
            </c:strRef>
          </c:cat>
          <c:val>
            <c:numRef>
              <c:f>'Device &amp; Geo'!$H$2:$H$6</c:f>
              <c:numCache>
                <c:formatCode>0%</c:formatCode>
                <c:ptCount val="5"/>
                <c:pt idx="0">
                  <c:v>0.75</c:v>
                </c:pt>
                <c:pt idx="1">
                  <c:v>0.1</c:v>
                </c:pt>
                <c:pt idx="2">
                  <c:v>0.05</c:v>
                </c:pt>
                <c:pt idx="3">
                  <c:v>0.03</c:v>
                </c:pt>
                <c:pt idx="4">
                  <c:v>7.0000000000000007E-2</c:v>
                </c:pt>
              </c:numCache>
            </c:numRef>
          </c:val>
        </c:ser>
        <c:dLbls>
          <c:showLegendKey val="0"/>
          <c:showVal val="1"/>
          <c:showCatName val="0"/>
          <c:showSerName val="0"/>
          <c:showPercent val="0"/>
          <c:showBubbleSize val="0"/>
        </c:dLbls>
        <c:gapWidth val="84"/>
        <c:gapDepth val="53"/>
        <c:shape val="box"/>
        <c:axId val="1871832576"/>
        <c:axId val="1871833120"/>
        <c:axId val="0"/>
      </c:bar3DChart>
      <c:catAx>
        <c:axId val="187183257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Country</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1833120"/>
        <c:crosses val="autoZero"/>
        <c:auto val="1"/>
        <c:lblAlgn val="ctr"/>
        <c:lblOffset val="100"/>
        <c:noMultiLvlLbl val="0"/>
      </c:catAx>
      <c:valAx>
        <c:axId val="1871833120"/>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Percentage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0%" sourceLinked="1"/>
        <c:majorTickMark val="out"/>
        <c:minorTickMark val="none"/>
        <c:tickLblPos val="nextTo"/>
        <c:crossAx val="1871832576"/>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Stage Count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extLst>
                <c:ext xmlns:c15="http://schemas.microsoft.com/office/drawing/2012/chart" uri="{02D57815-91ED-43cb-92C2-25804820EDAC}">
                  <c15:fullRef>
                    <c15:sqref>Conversions!$A$2:$A$4</c15:sqref>
                  </c15:fullRef>
                </c:ext>
              </c:extLst>
              <c:f>Conversions!$A$3:$A$4</c:f>
              <c:strCache>
                <c:ptCount val="2"/>
                <c:pt idx="0">
                  <c:v>CV Submissions</c:v>
                </c:pt>
                <c:pt idx="1">
                  <c:v>Contact Form Fills</c:v>
                </c:pt>
              </c:strCache>
            </c:strRef>
          </c:cat>
          <c:val>
            <c:numRef>
              <c:extLst>
                <c:ext xmlns:c15="http://schemas.microsoft.com/office/drawing/2012/chart" uri="{02D57815-91ED-43cb-92C2-25804820EDAC}">
                  <c15:fullRef>
                    <c15:sqref>Conversions!$B$2:$B$4</c15:sqref>
                  </c15:fullRef>
                </c:ext>
              </c:extLst>
              <c:f>Conversions!$B$3:$B$4</c:f>
              <c:numCache>
                <c:formatCode>0</c:formatCode>
                <c:ptCount val="2"/>
                <c:pt idx="0">
                  <c:v>160</c:v>
                </c:pt>
                <c:pt idx="1">
                  <c:v>60</c:v>
                </c:pt>
              </c:numCache>
            </c:numRef>
          </c:val>
        </c:ser>
        <c:dLbls>
          <c:dLblPos val="ctr"/>
          <c:showLegendKey val="0"/>
          <c:showVal val="1"/>
          <c:showCatName val="0"/>
          <c:showSerName val="0"/>
          <c:showPercent val="0"/>
          <c:showBubbleSize val="0"/>
        </c:dLbls>
        <c:gapWidth val="150"/>
        <c:overlap val="100"/>
        <c:axId val="1926998848"/>
        <c:axId val="1926989056"/>
      </c:barChart>
      <c:catAx>
        <c:axId val="19269988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989056"/>
        <c:crosses val="autoZero"/>
        <c:auto val="1"/>
        <c:lblAlgn val="ctr"/>
        <c:lblOffset val="100"/>
        <c:noMultiLvlLbl val="0"/>
      </c:catAx>
      <c:valAx>
        <c:axId val="192698905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998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baseline="0">
                <a:effectLst>
                  <a:outerShdw blurRad="50800" dist="38100" dir="5400000" algn="t" rotWithShape="0">
                    <a:prstClr val="black">
                      <a:alpha val="40000"/>
                    </a:prstClr>
                  </a:outerShdw>
                </a:effectLst>
              </a:rPr>
              <a:t>Gamage Recruiters vs Industry Benchmark</a:t>
            </a:r>
            <a:endParaRPr lang="en-US" sz="1200"/>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4151246719160105"/>
          <c:y val="0.16708333333333336"/>
          <c:w val="0.7089319772528434"/>
          <c:h val="0.61498432487605714"/>
        </c:manualLayout>
      </c:layout>
      <c:barChart>
        <c:barDir val="bar"/>
        <c:grouping val="clustered"/>
        <c:varyColors val="0"/>
        <c:ser>
          <c:idx val="0"/>
          <c:order val="0"/>
          <c:tx>
            <c:strRef>
              <c:f>Benchmarks!$B$1</c:f>
              <c:strCache>
                <c:ptCount val="1"/>
                <c:pt idx="0">
                  <c:v>Gamage Value</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Benchmarks!$A$2:$A$10</c15:sqref>
                  </c15:fullRef>
                </c:ext>
              </c:extLst>
              <c:f>(Benchmarks!$A$2,Benchmarks!$A$4:$A$10)</c:f>
              <c:strCache>
                <c:ptCount val="8"/>
                <c:pt idx="0">
                  <c:v>Bounce Rate</c:v>
                </c:pt>
                <c:pt idx="1">
                  <c:v>Pages per Session</c:v>
                </c:pt>
                <c:pt idx="2">
                  <c:v>New User %</c:v>
                </c:pt>
                <c:pt idx="3">
                  <c:v>Mobile Traffic %</c:v>
                </c:pt>
                <c:pt idx="4">
                  <c:v>Organic Traffic %</c:v>
                </c:pt>
                <c:pt idx="5">
                  <c:v>CV Submission Rate</c:v>
                </c:pt>
                <c:pt idx="6">
                  <c:v>Apply Click Rate</c:v>
                </c:pt>
                <c:pt idx="7">
                  <c:v>Contact Form Rate</c:v>
                </c:pt>
              </c:strCache>
            </c:strRef>
          </c:cat>
          <c:val>
            <c:numRef>
              <c:extLst>
                <c:ext xmlns:c15="http://schemas.microsoft.com/office/drawing/2012/chart" uri="{02D57815-91ED-43cb-92C2-25804820EDAC}">
                  <c15:fullRef>
                    <c15:sqref>Benchmarks!$B$2:$B$10</c15:sqref>
                  </c15:fullRef>
                </c:ext>
              </c:extLst>
              <c:f>(Benchmarks!$B$2,Benchmarks!$B$4:$B$10)</c:f>
              <c:numCache>
                <c:formatCode>General</c:formatCode>
                <c:ptCount val="8"/>
                <c:pt idx="0" formatCode="0%">
                  <c:v>0.56499999999999995</c:v>
                </c:pt>
                <c:pt idx="1">
                  <c:v>2.64</c:v>
                </c:pt>
                <c:pt idx="2" formatCode="0.00%">
                  <c:v>0.88500000000000001</c:v>
                </c:pt>
                <c:pt idx="3" formatCode="0%">
                  <c:v>0.7</c:v>
                </c:pt>
                <c:pt idx="4" formatCode="0%">
                  <c:v>0.45</c:v>
                </c:pt>
                <c:pt idx="5" formatCode="0%">
                  <c:v>3.6799999999999999E-2</c:v>
                </c:pt>
                <c:pt idx="6" formatCode="0%">
                  <c:v>0.185</c:v>
                </c:pt>
                <c:pt idx="7" formatCode="0%">
                  <c:v>1.38E-2</c:v>
                </c:pt>
              </c:numCache>
            </c:numRef>
          </c:val>
        </c:ser>
        <c:ser>
          <c:idx val="1"/>
          <c:order val="1"/>
          <c:tx>
            <c:strRef>
              <c:f>Benchmarks!$E$1</c:f>
              <c:strCache>
                <c:ptCount val="1"/>
                <c:pt idx="0">
                  <c:v>Benchmark Mid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Benchmarks!$A$2:$A$10</c15:sqref>
                  </c15:fullRef>
                </c:ext>
              </c:extLst>
              <c:f>(Benchmarks!$A$2,Benchmarks!$A$4:$A$10)</c:f>
              <c:strCache>
                <c:ptCount val="8"/>
                <c:pt idx="0">
                  <c:v>Bounce Rate</c:v>
                </c:pt>
                <c:pt idx="1">
                  <c:v>Pages per Session</c:v>
                </c:pt>
                <c:pt idx="2">
                  <c:v>New User %</c:v>
                </c:pt>
                <c:pt idx="3">
                  <c:v>Mobile Traffic %</c:v>
                </c:pt>
                <c:pt idx="4">
                  <c:v>Organic Traffic %</c:v>
                </c:pt>
                <c:pt idx="5">
                  <c:v>CV Submission Rate</c:v>
                </c:pt>
                <c:pt idx="6">
                  <c:v>Apply Click Rate</c:v>
                </c:pt>
                <c:pt idx="7">
                  <c:v>Contact Form Rate</c:v>
                </c:pt>
              </c:strCache>
            </c:strRef>
          </c:cat>
          <c:val>
            <c:numRef>
              <c:extLst>
                <c:ext xmlns:c15="http://schemas.microsoft.com/office/drawing/2012/chart" uri="{02D57815-91ED-43cb-92C2-25804820EDAC}">
                  <c15:fullRef>
                    <c15:sqref>Benchmarks!$E$2:$E$10</c15:sqref>
                  </c15:fullRef>
                </c:ext>
              </c:extLst>
              <c:f>(Benchmarks!$E$2,Benchmarks!$E$4:$E$10)</c:f>
              <c:numCache>
                <c:formatCode>General</c:formatCode>
                <c:ptCount val="8"/>
                <c:pt idx="0" formatCode="0%">
                  <c:v>0.45</c:v>
                </c:pt>
                <c:pt idx="1">
                  <c:v>4.25</c:v>
                </c:pt>
                <c:pt idx="2" formatCode="0%">
                  <c:v>0.67500000000000004</c:v>
                </c:pt>
                <c:pt idx="3" formatCode="0%">
                  <c:v>0.60000000000000009</c:v>
                </c:pt>
                <c:pt idx="4" formatCode="0%">
                  <c:v>0.42499999999999999</c:v>
                </c:pt>
                <c:pt idx="5" formatCode="0%">
                  <c:v>6.5000000000000002E-2</c:v>
                </c:pt>
                <c:pt idx="6" formatCode="0%">
                  <c:v>0.2</c:v>
                </c:pt>
                <c:pt idx="7" formatCode="0%">
                  <c:v>0.03</c:v>
                </c:pt>
              </c:numCache>
            </c:numRef>
          </c:val>
        </c:ser>
        <c:dLbls>
          <c:showLegendKey val="0"/>
          <c:showVal val="0"/>
          <c:showCatName val="0"/>
          <c:showSerName val="0"/>
          <c:showPercent val="0"/>
          <c:showBubbleSize val="0"/>
        </c:dLbls>
        <c:gapWidth val="115"/>
        <c:overlap val="-20"/>
        <c:axId val="1926995040"/>
        <c:axId val="1927002656"/>
      </c:barChart>
      <c:catAx>
        <c:axId val="19269950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002656"/>
        <c:crosses val="autoZero"/>
        <c:auto val="1"/>
        <c:lblAlgn val="ctr"/>
        <c:lblOffset val="100"/>
        <c:noMultiLvlLbl val="0"/>
      </c:catAx>
      <c:valAx>
        <c:axId val="192700265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9950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152400</xdr:rowOff>
    </xdr:from>
    <xdr:to>
      <xdr:col>6</xdr:col>
      <xdr:colOff>209550</xdr:colOff>
      <xdr:row>20</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552450</xdr:colOff>
      <xdr:row>7</xdr:row>
      <xdr:rowOff>0</xdr:rowOff>
    </xdr:from>
    <xdr:ext cx="184731" cy="264560"/>
    <xdr:sp macro="" textlink="">
      <xdr:nvSpPr>
        <xdr:cNvPr id="3" name="TextBox 2"/>
        <xdr:cNvSpPr txBox="1"/>
      </xdr:nvSpPr>
      <xdr:spPr>
        <a:xfrm>
          <a:off x="8820150" y="143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142875</xdr:colOff>
      <xdr:row>5</xdr:row>
      <xdr:rowOff>152400</xdr:rowOff>
    </xdr:from>
    <xdr:ext cx="184731" cy="264560"/>
    <xdr:sp macro="" textlink="">
      <xdr:nvSpPr>
        <xdr:cNvPr id="4" name="TextBox 3"/>
        <xdr:cNvSpPr txBox="1"/>
      </xdr:nvSpPr>
      <xdr:spPr>
        <a:xfrm>
          <a:off x="8410575" y="1209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142875</xdr:rowOff>
    </xdr:from>
    <xdr:to>
      <xdr:col>5</xdr:col>
      <xdr:colOff>523875</xdr:colOff>
      <xdr:row>22</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561975</xdr:colOff>
      <xdr:row>12</xdr:row>
      <xdr:rowOff>161925</xdr:rowOff>
    </xdr:from>
    <xdr:ext cx="184731" cy="264560"/>
    <xdr:sp macro="" textlink="">
      <xdr:nvSpPr>
        <xdr:cNvPr id="3" name="TextBox 2"/>
        <xdr:cNvSpPr txBox="1"/>
      </xdr:nvSpPr>
      <xdr:spPr>
        <a:xfrm>
          <a:off x="7943850" y="254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38100</xdr:rowOff>
    </xdr:from>
    <xdr:to>
      <xdr:col>6</xdr:col>
      <xdr:colOff>647700</xdr:colOff>
      <xdr:row>21</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661987</xdr:colOff>
      <xdr:row>7</xdr:row>
      <xdr:rowOff>9525</xdr:rowOff>
    </xdr:from>
    <xdr:to>
      <xdr:col>15</xdr:col>
      <xdr:colOff>290512</xdr:colOff>
      <xdr:row>21</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33337</xdr:rowOff>
    </xdr:from>
    <xdr:to>
      <xdr:col>5</xdr:col>
      <xdr:colOff>323850</xdr:colOff>
      <xdr:row>20</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28575</xdr:rowOff>
    </xdr:from>
    <xdr:to>
      <xdr:col>3</xdr:col>
      <xdr:colOff>762000</xdr:colOff>
      <xdr:row>24</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133350</xdr:colOff>
      <xdr:row>5</xdr:row>
      <xdr:rowOff>76200</xdr:rowOff>
    </xdr:from>
    <xdr:to>
      <xdr:col>7</xdr:col>
      <xdr:colOff>19050</xdr:colOff>
      <xdr:row>7</xdr:row>
      <xdr:rowOff>0</xdr:rowOff>
    </xdr:to>
    <xdr:sp macro="" textlink="">
      <xdr:nvSpPr>
        <xdr:cNvPr id="3" name="TextBox 2"/>
        <xdr:cNvSpPr txBox="1"/>
      </xdr:nvSpPr>
      <xdr:spPr>
        <a:xfrm>
          <a:off x="314325" y="1038225"/>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 Users </a:t>
          </a:r>
        </a:p>
      </xdr:txBody>
    </xdr:sp>
    <xdr:clientData/>
  </xdr:twoCellAnchor>
  <xdr:twoCellAnchor>
    <xdr:from>
      <xdr:col>9</xdr:col>
      <xdr:colOff>171450</xdr:colOff>
      <xdr:row>5</xdr:row>
      <xdr:rowOff>66675</xdr:rowOff>
    </xdr:from>
    <xdr:to>
      <xdr:col>15</xdr:col>
      <xdr:colOff>57150</xdr:colOff>
      <xdr:row>6</xdr:row>
      <xdr:rowOff>180975</xdr:rowOff>
    </xdr:to>
    <xdr:sp macro="" textlink="">
      <xdr:nvSpPr>
        <xdr:cNvPr id="4" name="TextBox 3"/>
        <xdr:cNvSpPr txBox="1"/>
      </xdr:nvSpPr>
      <xdr:spPr>
        <a:xfrm>
          <a:off x="1800225" y="1028700"/>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Bounce Rate</a:t>
          </a:r>
          <a:endParaRPr lang="en-US" sz="1100"/>
        </a:p>
      </xdr:txBody>
    </xdr:sp>
    <xdr:clientData/>
  </xdr:twoCellAnchor>
  <xdr:twoCellAnchor>
    <xdr:from>
      <xdr:col>17</xdr:col>
      <xdr:colOff>152400</xdr:colOff>
      <xdr:row>5</xdr:row>
      <xdr:rowOff>66675</xdr:rowOff>
    </xdr:from>
    <xdr:to>
      <xdr:col>23</xdr:col>
      <xdr:colOff>38100</xdr:colOff>
      <xdr:row>6</xdr:row>
      <xdr:rowOff>180975</xdr:rowOff>
    </xdr:to>
    <xdr:sp macro="" textlink="">
      <xdr:nvSpPr>
        <xdr:cNvPr id="5" name="TextBox 4"/>
        <xdr:cNvSpPr txBox="1"/>
      </xdr:nvSpPr>
      <xdr:spPr>
        <a:xfrm>
          <a:off x="3228975" y="1028700"/>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Avg Session</a:t>
          </a:r>
          <a:endParaRPr lang="en-US" sz="1100"/>
        </a:p>
      </xdr:txBody>
    </xdr:sp>
    <xdr:clientData/>
  </xdr:twoCellAnchor>
  <xdr:twoCellAnchor>
    <xdr:from>
      <xdr:col>25</xdr:col>
      <xdr:colOff>57150</xdr:colOff>
      <xdr:row>5</xdr:row>
      <xdr:rowOff>57150</xdr:rowOff>
    </xdr:from>
    <xdr:to>
      <xdr:col>31</xdr:col>
      <xdr:colOff>95250</xdr:colOff>
      <xdr:row>6</xdr:row>
      <xdr:rowOff>171450</xdr:rowOff>
    </xdr:to>
    <xdr:sp macro="" textlink="">
      <xdr:nvSpPr>
        <xdr:cNvPr id="6" name="TextBox 5"/>
        <xdr:cNvSpPr txBox="1"/>
      </xdr:nvSpPr>
      <xdr:spPr>
        <a:xfrm>
          <a:off x="4581525" y="1019175"/>
          <a:ext cx="11239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CV Submissions</a:t>
          </a:r>
          <a:endParaRPr lang="en-US" sz="1100"/>
        </a:p>
      </xdr:txBody>
    </xdr:sp>
    <xdr:clientData/>
  </xdr:twoCellAnchor>
  <xdr:twoCellAnchor>
    <xdr:from>
      <xdr:col>1</xdr:col>
      <xdr:colOff>114300</xdr:colOff>
      <xdr:row>7</xdr:row>
      <xdr:rowOff>133350</xdr:rowOff>
    </xdr:from>
    <xdr:to>
      <xdr:col>7</xdr:col>
      <xdr:colOff>0</xdr:colOff>
      <xdr:row>9</xdr:row>
      <xdr:rowOff>57150</xdr:rowOff>
    </xdr:to>
    <xdr:sp macro="" textlink="">
      <xdr:nvSpPr>
        <xdr:cNvPr id="7" name="TextBox 6"/>
        <xdr:cNvSpPr txBox="1"/>
      </xdr:nvSpPr>
      <xdr:spPr>
        <a:xfrm>
          <a:off x="295275" y="1476375"/>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3,525</a:t>
          </a:r>
        </a:p>
      </xdr:txBody>
    </xdr:sp>
    <xdr:clientData/>
  </xdr:twoCellAnchor>
  <xdr:twoCellAnchor>
    <xdr:from>
      <xdr:col>9</xdr:col>
      <xdr:colOff>171450</xdr:colOff>
      <xdr:row>7</xdr:row>
      <xdr:rowOff>123825</xdr:rowOff>
    </xdr:from>
    <xdr:to>
      <xdr:col>15</xdr:col>
      <xdr:colOff>57150</xdr:colOff>
      <xdr:row>9</xdr:row>
      <xdr:rowOff>47625</xdr:rowOff>
    </xdr:to>
    <xdr:sp macro="" textlink="">
      <xdr:nvSpPr>
        <xdr:cNvPr id="8" name="TextBox 7"/>
        <xdr:cNvSpPr txBox="1"/>
      </xdr:nvSpPr>
      <xdr:spPr>
        <a:xfrm>
          <a:off x="1800225" y="1466850"/>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56.5%</a:t>
          </a:r>
        </a:p>
      </xdr:txBody>
    </xdr:sp>
    <xdr:clientData/>
  </xdr:twoCellAnchor>
  <xdr:twoCellAnchor>
    <xdr:from>
      <xdr:col>17</xdr:col>
      <xdr:colOff>161925</xdr:colOff>
      <xdr:row>7</xdr:row>
      <xdr:rowOff>133350</xdr:rowOff>
    </xdr:from>
    <xdr:to>
      <xdr:col>23</xdr:col>
      <xdr:colOff>47625</xdr:colOff>
      <xdr:row>9</xdr:row>
      <xdr:rowOff>57150</xdr:rowOff>
    </xdr:to>
    <xdr:sp macro="" textlink="">
      <xdr:nvSpPr>
        <xdr:cNvPr id="9" name="TextBox 8"/>
        <xdr:cNvSpPr txBox="1"/>
      </xdr:nvSpPr>
      <xdr:spPr>
        <a:xfrm>
          <a:off x="3238500" y="1476375"/>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1m 45s</a:t>
          </a:r>
        </a:p>
      </xdr:txBody>
    </xdr:sp>
    <xdr:clientData/>
  </xdr:twoCellAnchor>
  <xdr:twoCellAnchor>
    <xdr:from>
      <xdr:col>25</xdr:col>
      <xdr:colOff>133350</xdr:colOff>
      <xdr:row>7</xdr:row>
      <xdr:rowOff>123825</xdr:rowOff>
    </xdr:from>
    <xdr:to>
      <xdr:col>31</xdr:col>
      <xdr:colOff>19050</xdr:colOff>
      <xdr:row>9</xdr:row>
      <xdr:rowOff>47625</xdr:rowOff>
    </xdr:to>
    <xdr:sp macro="" textlink="">
      <xdr:nvSpPr>
        <xdr:cNvPr id="10" name="TextBox 9"/>
        <xdr:cNvSpPr txBox="1"/>
      </xdr:nvSpPr>
      <xdr:spPr>
        <a:xfrm>
          <a:off x="4657725" y="1466850"/>
          <a:ext cx="971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160</a:t>
          </a:r>
        </a:p>
      </xdr:txBody>
    </xdr:sp>
    <xdr:clientData/>
  </xdr:twoCellAnchor>
  <xdr:twoCellAnchor editAs="absolute">
    <xdr:from>
      <xdr:col>36</xdr:col>
      <xdr:colOff>133350</xdr:colOff>
      <xdr:row>0</xdr:row>
      <xdr:rowOff>38100</xdr:rowOff>
    </xdr:from>
    <xdr:to>
      <xdr:col>54</xdr:col>
      <xdr:colOff>38100</xdr:colOff>
      <xdr:row>7</xdr:row>
      <xdr:rowOff>171450</xdr:rowOff>
    </xdr:to>
    <mc:AlternateContent xmlns:mc="http://schemas.openxmlformats.org/markup-compatibility/2006" xmlns:sle15="http://schemas.microsoft.com/office/drawing/2012/slicer">
      <mc:Choice Requires="sle15">
        <xdr:graphicFrame macro="">
          <xdr:nvGraphicFramePr>
            <xdr:cNvPr id="11" name="Week"/>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6648450" y="38100"/>
              <a:ext cx="3162300" cy="14763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xdr:from>
      <xdr:col>1</xdr:col>
      <xdr:colOff>1</xdr:colOff>
      <xdr:row>10</xdr:row>
      <xdr:rowOff>180974</xdr:rowOff>
    </xdr:from>
    <xdr:to>
      <xdr:col>31</xdr:col>
      <xdr:colOff>171451</xdr:colOff>
      <xdr:row>24</xdr:row>
      <xdr:rowOff>171449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171450</xdr:colOff>
      <xdr:row>8</xdr:row>
      <xdr:rowOff>171450</xdr:rowOff>
    </xdr:from>
    <xdr:to>
      <xdr:col>54</xdr:col>
      <xdr:colOff>47625</xdr:colOff>
      <xdr:row>24</xdr:row>
      <xdr:rowOff>133350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0</xdr:rowOff>
    </xdr:from>
    <xdr:to>
      <xdr:col>20</xdr:col>
      <xdr:colOff>114300</xdr:colOff>
      <xdr:row>40</xdr:row>
      <xdr:rowOff>76200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133349</xdr:colOff>
      <xdr:row>25</xdr:row>
      <xdr:rowOff>180974</xdr:rowOff>
    </xdr:from>
    <xdr:to>
      <xdr:col>54</xdr:col>
      <xdr:colOff>76199</xdr:colOff>
      <xdr:row>40</xdr:row>
      <xdr:rowOff>76199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41</xdr:row>
      <xdr:rowOff>0</xdr:rowOff>
    </xdr:from>
    <xdr:to>
      <xdr:col>20</xdr:col>
      <xdr:colOff>123826</xdr:colOff>
      <xdr:row>54</xdr:row>
      <xdr:rowOff>19050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152400</xdr:colOff>
      <xdr:row>41</xdr:row>
      <xdr:rowOff>19050</xdr:rowOff>
    </xdr:from>
    <xdr:to>
      <xdr:col>54</xdr:col>
      <xdr:colOff>133350</xdr:colOff>
      <xdr:row>53</xdr:row>
      <xdr:rowOff>180975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ek" sourceName="Week">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ek" cache="Slicer_Week" caption="Week" style="SlicerStyleDark1" rowHeight="241300"/>
</slicers>
</file>

<file path=xl/tables/table1.xml><?xml version="1.0" encoding="utf-8"?>
<table xmlns="http://schemas.openxmlformats.org/spreadsheetml/2006/main" id="1" name="Table1" displayName="Table1" ref="A1:D10" totalsRowShown="0">
  <autoFilter ref="A1:D10"/>
  <tableColumns count="4">
    <tableColumn id="1" name="Metrics"/>
    <tableColumn id="2" name="Min"/>
    <tableColumn id="3" name="Max"/>
    <tableColumn id="4" name="Midpoint" dataDxfId="23">
      <calculatedColumnFormula xml:space="preserve"> ($B2+$C2)/2</calculatedColumnFormula>
    </tableColumn>
  </tableColumns>
  <tableStyleInfo name="TableStyleLight11" showFirstColumn="0" showLastColumn="0" showRowStripes="1" showColumnStripes="0"/>
</table>
</file>

<file path=xl/tables/table2.xml><?xml version="1.0" encoding="utf-8"?>
<table xmlns="http://schemas.openxmlformats.org/spreadsheetml/2006/main" id="7" name="Table7" displayName="Table7" ref="G1:I9" totalsRowShown="0">
  <autoFilter ref="G1:I9"/>
  <tableColumns count="3">
    <tableColumn id="1" name="Metric"/>
    <tableColumn id="2" name="Industry Benchmark"/>
    <tableColumn id="3" name="Gamage Recruiters" dataDxfId="22"/>
  </tableColumns>
  <tableStyleInfo name="TableStyleLight11" showFirstColumn="0" showLastColumn="0" showRowStripes="1" showColumnStripes="0"/>
</table>
</file>

<file path=xl/tables/table3.xml><?xml version="1.0" encoding="utf-8"?>
<table xmlns="http://schemas.openxmlformats.org/spreadsheetml/2006/main" id="3" name="Table3" displayName="Table3" ref="A1:C5" totalsRowShown="0">
  <autoFilter ref="A1:C5"/>
  <tableColumns count="3">
    <tableColumn id="1" name="Source" dataDxfId="21"/>
    <tableColumn id="2" name="Percentage" dataDxfId="20" dataCellStyle="Percent"/>
    <tableColumn id="3" name="Sessions" dataDxfId="19">
      <calculatedColumnFormula>ROUND($G$1*$B2, 0)</calculatedColumnFormula>
    </tableColumn>
  </tableColumns>
  <tableStyleInfo name="TableStyleLight11" showFirstColumn="0" showLastColumn="0" showRowStripes="1" showColumnStripes="0"/>
</table>
</file>

<file path=xl/tables/table4.xml><?xml version="1.0" encoding="utf-8"?>
<table xmlns="http://schemas.openxmlformats.org/spreadsheetml/2006/main" id="2" name="TrafficData" displayName="TrafficData" ref="A1:D5" totalsRowShown="0">
  <autoFilter ref="A1:D5"/>
  <tableColumns count="4">
    <tableColumn id="1" name="Week"/>
    <tableColumn id="2" name="Sessions" dataDxfId="18"/>
    <tableColumn id="3" name="Page Views" dataDxfId="17"/>
    <tableColumn id="4" name="Users" dataDxfId="16"/>
  </tableColumns>
  <tableStyleInfo name="TableStyleLight11" showFirstColumn="0" showLastColumn="0" showRowStripes="1" showColumnStripes="0"/>
</table>
</file>

<file path=xl/tables/table5.xml><?xml version="1.0" encoding="utf-8"?>
<table xmlns="http://schemas.openxmlformats.org/spreadsheetml/2006/main" id="4" name="Table4" displayName="Table4" ref="A1:C4" totalsRowShown="0">
  <autoFilter ref="A1:C4"/>
  <tableColumns count="3">
    <tableColumn id="1" name="Device" dataDxfId="15"/>
    <tableColumn id="2" name="Percentage" dataDxfId="14" dataCellStyle="Percent"/>
    <tableColumn id="3" name="Users" dataDxfId="13">
      <calculatedColumnFormula>ROUND($O$1*$B2, 0)</calculatedColumnFormula>
    </tableColumn>
  </tableColumns>
  <tableStyleInfo name="TableStyleLight11" showFirstColumn="0" showLastColumn="0" showRowStripes="1" showColumnStripes="0"/>
</table>
</file>

<file path=xl/tables/table6.xml><?xml version="1.0" encoding="utf-8"?>
<table xmlns="http://schemas.openxmlformats.org/spreadsheetml/2006/main" id="5" name="Table5" displayName="Table5" ref="G1:I6" totalsRowShown="0">
  <autoFilter ref="G1:I6"/>
  <tableColumns count="3">
    <tableColumn id="1" name="Country" dataDxfId="12"/>
    <tableColumn id="2" name="% Share" dataDxfId="11" dataCellStyle="Percent"/>
    <tableColumn id="3" name="Users" dataDxfId="10">
      <calculatedColumnFormula>ROUND($O$1*$H2,0)</calculatedColumnFormula>
    </tableColumn>
  </tableColumns>
  <tableStyleInfo name="TableStyleLight11" showFirstColumn="0" showLastColumn="0" showRowStripes="1" showColumnStripes="0"/>
</table>
</file>

<file path=xl/tables/table7.xml><?xml version="1.0" encoding="utf-8"?>
<table xmlns="http://schemas.openxmlformats.org/spreadsheetml/2006/main" id="6" name="Table6" displayName="Table6" ref="A1:E4" totalsRowShown="0">
  <autoFilter ref="A1:E4"/>
  <tableColumns count="5">
    <tableColumn id="1" name="Stage" dataDxfId="9"/>
    <tableColumn id="2" name="Count" dataDxfId="8"/>
    <tableColumn id="3" name="% of Total Clicks" dataDxfId="7"/>
    <tableColumn id="4" name="People Lost" dataDxfId="6"/>
    <tableColumn id="5" name="Drop-off %" dataDxfId="5" dataCellStyle="Percent"/>
  </tableColumns>
  <tableStyleInfo name="TableStyleLight11" showFirstColumn="0" showLastColumn="0" showRowStripes="1" showColumnStripes="0"/>
</table>
</file>

<file path=xl/tables/table8.xml><?xml version="1.0" encoding="utf-8"?>
<table xmlns="http://schemas.openxmlformats.org/spreadsheetml/2006/main" id="8" name="Table8" displayName="Table8" ref="B1:G10" totalsRowShown="0">
  <autoFilter ref="B1:G10"/>
  <tableColumns count="6">
    <tableColumn id="1" name="Gamage Value"/>
    <tableColumn id="2" name="Benchmark Low" dataDxfId="1"/>
    <tableColumn id="3" name="Benchmark High"/>
    <tableColumn id="4" name="Benchmark Mid">
      <calculatedColumnFormula>( $D2+$C2 )/2</calculatedColumnFormula>
    </tableColumn>
    <tableColumn id="5" name="Gap" dataDxfId="0">
      <calculatedColumnFormula xml:space="preserve"> $B2-$E2</calculatedColumnFormula>
    </tableColumn>
    <tableColumn id="6" name="Status"/>
  </tableColumns>
  <tableStyleInfo name="TableStyleLight11" showFirstColumn="0" showLastColumn="0" showRowStripes="1" showColumnStripes="0"/>
</table>
</file>

<file path=xl/tables/table9.xml><?xml version="1.0" encoding="utf-8"?>
<table xmlns="http://schemas.openxmlformats.org/spreadsheetml/2006/main" id="10" name="Table10" displayName="Table10" ref="A1:A10" totalsRowShown="0">
  <autoFilter ref="A1:A10"/>
  <tableColumns count="1">
    <tableColumn id="1" name="Metric"/>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D3" sqref="D3"/>
    </sheetView>
  </sheetViews>
  <sheetFormatPr defaultRowHeight="15" x14ac:dyDescent="0.25"/>
  <cols>
    <col min="1" max="1" width="17.140625" customWidth="1"/>
    <col min="4" max="4" width="11.42578125" customWidth="1"/>
    <col min="7" max="7" width="20.140625" customWidth="1"/>
    <col min="8" max="8" width="20.7109375" customWidth="1"/>
    <col min="9" max="9" width="19.85546875" customWidth="1"/>
  </cols>
  <sheetData>
    <row r="1" spans="1:9" ht="24" customHeight="1" x14ac:dyDescent="0.25">
      <c r="A1" t="s">
        <v>0</v>
      </c>
      <c r="B1" t="s">
        <v>10</v>
      </c>
      <c r="C1" t="s">
        <v>11</v>
      </c>
      <c r="D1" t="s">
        <v>12</v>
      </c>
      <c r="G1" t="s">
        <v>40</v>
      </c>
      <c r="H1" t="s">
        <v>49</v>
      </c>
      <c r="I1" t="s">
        <v>58</v>
      </c>
    </row>
    <row r="2" spans="1:9" x14ac:dyDescent="0.25">
      <c r="A2" t="s">
        <v>1</v>
      </c>
      <c r="B2">
        <v>2850</v>
      </c>
      <c r="C2">
        <v>4200</v>
      </c>
      <c r="D2" s="7">
        <f xml:space="preserve"> ($B2+$C2)/2</f>
        <v>3525</v>
      </c>
      <c r="G2" t="s">
        <v>6</v>
      </c>
      <c r="H2" t="s">
        <v>50</v>
      </c>
      <c r="I2" s="5">
        <f>$D$7</f>
        <v>0.56499999999999995</v>
      </c>
    </row>
    <row r="3" spans="1:9" x14ac:dyDescent="0.25">
      <c r="A3" t="s">
        <v>2</v>
      </c>
      <c r="B3" s="1">
        <v>0.85</v>
      </c>
      <c r="C3" s="1">
        <v>0.92</v>
      </c>
      <c r="D3" s="2">
        <f t="shared" ref="D3:D10" si="0" xml:space="preserve"> ($B3+$C3)/2</f>
        <v>0.88500000000000001</v>
      </c>
      <c r="G3" t="s">
        <v>41</v>
      </c>
      <c r="H3" t="s">
        <v>51</v>
      </c>
      <c r="I3" t="s">
        <v>59</v>
      </c>
    </row>
    <row r="4" spans="1:9" x14ac:dyDescent="0.25">
      <c r="A4" t="s">
        <v>3</v>
      </c>
      <c r="B4">
        <v>3500</v>
      </c>
      <c r="C4">
        <v>5200</v>
      </c>
      <c r="D4" s="7">
        <f t="shared" si="0"/>
        <v>4350</v>
      </c>
      <c r="G4" t="s">
        <v>42</v>
      </c>
      <c r="H4" t="s">
        <v>52</v>
      </c>
      <c r="I4" s="4">
        <f>$D$5/$D$4</f>
        <v>2.6436781609195403</v>
      </c>
    </row>
    <row r="5" spans="1:9" x14ac:dyDescent="0.25">
      <c r="A5" t="s">
        <v>4</v>
      </c>
      <c r="B5">
        <v>9000</v>
      </c>
      <c r="C5">
        <v>14000</v>
      </c>
      <c r="D5" s="7">
        <f t="shared" si="0"/>
        <v>11500</v>
      </c>
      <c r="G5" t="s">
        <v>44</v>
      </c>
      <c r="H5" t="s">
        <v>53</v>
      </c>
      <c r="I5" s="2">
        <f>$D$3</f>
        <v>0.88500000000000001</v>
      </c>
    </row>
    <row r="6" spans="1:9" x14ac:dyDescent="0.25">
      <c r="A6" t="s">
        <v>5</v>
      </c>
      <c r="B6">
        <v>80</v>
      </c>
      <c r="C6">
        <v>130</v>
      </c>
      <c r="D6" s="7">
        <f t="shared" si="0"/>
        <v>105</v>
      </c>
      <c r="G6" t="s">
        <v>43</v>
      </c>
      <c r="H6" t="s">
        <v>54</v>
      </c>
      <c r="I6" s="2">
        <v>0.7</v>
      </c>
    </row>
    <row r="7" spans="1:9" x14ac:dyDescent="0.25">
      <c r="A7" t="s">
        <v>6</v>
      </c>
      <c r="B7" s="1">
        <v>0.48</v>
      </c>
      <c r="C7" s="1">
        <v>0.65</v>
      </c>
      <c r="D7" s="5">
        <f t="shared" si="0"/>
        <v>0.56499999999999995</v>
      </c>
      <c r="G7" t="s">
        <v>45</v>
      </c>
      <c r="H7" t="s">
        <v>55</v>
      </c>
      <c r="I7" s="2">
        <v>0.45</v>
      </c>
    </row>
    <row r="8" spans="1:9" x14ac:dyDescent="0.25">
      <c r="A8" t="s">
        <v>7</v>
      </c>
      <c r="B8">
        <v>120</v>
      </c>
      <c r="C8">
        <v>200</v>
      </c>
      <c r="D8" s="7">
        <f t="shared" si="0"/>
        <v>160</v>
      </c>
      <c r="G8" t="s">
        <v>46</v>
      </c>
      <c r="H8" s="3" t="s">
        <v>56</v>
      </c>
      <c r="I8" s="2">
        <f>($D$8/$D$4)</f>
        <v>3.6781609195402298E-2</v>
      </c>
    </row>
    <row r="9" spans="1:9" x14ac:dyDescent="0.25">
      <c r="A9" t="s">
        <v>8</v>
      </c>
      <c r="B9">
        <v>40</v>
      </c>
      <c r="C9">
        <v>80</v>
      </c>
      <c r="D9" s="7">
        <f t="shared" si="0"/>
        <v>60</v>
      </c>
      <c r="G9" t="s">
        <v>48</v>
      </c>
      <c r="H9" t="s">
        <v>57</v>
      </c>
      <c r="I9" s="2">
        <f>$D$9/$D$4</f>
        <v>1.3793103448275862E-2</v>
      </c>
    </row>
    <row r="10" spans="1:9" x14ac:dyDescent="0.25">
      <c r="A10" t="s">
        <v>9</v>
      </c>
      <c r="B10">
        <v>300</v>
      </c>
      <c r="C10">
        <v>600</v>
      </c>
      <c r="D10" s="7">
        <f t="shared" si="0"/>
        <v>450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F3" sqref="F3"/>
    </sheetView>
  </sheetViews>
  <sheetFormatPr defaultRowHeight="15" x14ac:dyDescent="0.25"/>
  <cols>
    <col min="1" max="1" width="14.140625" style="6" customWidth="1"/>
    <col min="2" max="2" width="13.140625" style="5" customWidth="1"/>
    <col min="3" max="3" width="10.7109375" style="9" customWidth="1"/>
    <col min="6" max="6" width="31.140625" customWidth="1"/>
  </cols>
  <sheetData>
    <row r="1" spans="1:7" ht="23.25" customHeight="1" x14ac:dyDescent="0.25">
      <c r="A1" s="6" t="s">
        <v>19</v>
      </c>
      <c r="B1" s="5" t="s">
        <v>20</v>
      </c>
      <c r="C1" s="9" t="s">
        <v>3</v>
      </c>
      <c r="F1" s="10" t="s">
        <v>70</v>
      </c>
      <c r="G1" s="11">
        <v>4350</v>
      </c>
    </row>
    <row r="2" spans="1:7" x14ac:dyDescent="0.25">
      <c r="A2" s="6" t="s">
        <v>75</v>
      </c>
      <c r="B2" s="18">
        <v>0.45</v>
      </c>
      <c r="C2" s="9">
        <f t="shared" ref="C2:C5" si="0">ROUND($G$1*$B2, 0)</f>
        <v>1958</v>
      </c>
    </row>
    <row r="3" spans="1:7" x14ac:dyDescent="0.25">
      <c r="A3" s="6" t="s">
        <v>21</v>
      </c>
      <c r="B3" s="18">
        <v>0.25</v>
      </c>
      <c r="C3" s="9">
        <f t="shared" si="0"/>
        <v>1088</v>
      </c>
    </row>
    <row r="4" spans="1:7" x14ac:dyDescent="0.25">
      <c r="A4" s="6" t="s">
        <v>22</v>
      </c>
      <c r="B4" s="18">
        <v>0.2</v>
      </c>
      <c r="C4" s="9">
        <f t="shared" si="0"/>
        <v>870</v>
      </c>
    </row>
    <row r="5" spans="1:7" x14ac:dyDescent="0.25">
      <c r="A5" s="6" t="s">
        <v>23</v>
      </c>
      <c r="B5" s="18">
        <v>0.1</v>
      </c>
      <c r="C5" s="9">
        <f t="shared" si="0"/>
        <v>435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I13" sqref="I13"/>
    </sheetView>
  </sheetViews>
  <sheetFormatPr defaultRowHeight="15" x14ac:dyDescent="0.25"/>
  <cols>
    <col min="1" max="1" width="18.42578125" customWidth="1"/>
    <col min="2" max="2" width="10.7109375" style="9" customWidth="1"/>
    <col min="3" max="3" width="13.28515625" style="9" customWidth="1"/>
    <col min="4" max="4" width="9.140625" style="9"/>
    <col min="6" max="6" width="31.7109375" style="6" customWidth="1"/>
    <col min="7" max="7" width="9.140625" style="9"/>
  </cols>
  <sheetData>
    <row r="1" spans="1:7" ht="22.5" customHeight="1" x14ac:dyDescent="0.25">
      <c r="A1" t="s">
        <v>13</v>
      </c>
      <c r="B1" s="9" t="s">
        <v>3</v>
      </c>
      <c r="C1" s="9" t="s">
        <v>18</v>
      </c>
      <c r="D1" s="9" t="s">
        <v>1</v>
      </c>
      <c r="F1" s="12" t="s">
        <v>70</v>
      </c>
      <c r="G1" s="19">
        <v>4350</v>
      </c>
    </row>
    <row r="2" spans="1:7" x14ac:dyDescent="0.25">
      <c r="A2" t="s">
        <v>17</v>
      </c>
      <c r="B2" s="9">
        <f>ROUND($G$1*0.87,0)</f>
        <v>3785</v>
      </c>
      <c r="C2" s="9">
        <f>ROUND($G$2*0.87,0)</f>
        <v>10005</v>
      </c>
      <c r="D2" s="9">
        <f>ROUND($G$3*0.87,0)</f>
        <v>3067</v>
      </c>
      <c r="F2" s="13" t="s">
        <v>71</v>
      </c>
      <c r="G2" s="20">
        <v>11500</v>
      </c>
    </row>
    <row r="3" spans="1:7" x14ac:dyDescent="0.25">
      <c r="A3" t="s">
        <v>14</v>
      </c>
      <c r="B3" s="9">
        <f>ROUND($G$1*0.97,0)</f>
        <v>4220</v>
      </c>
      <c r="C3" s="9">
        <f>ROUND($G$2*0.97,0)</f>
        <v>11155</v>
      </c>
      <c r="D3" s="9">
        <f>ROUND($G$3*0.97,0)</f>
        <v>3419</v>
      </c>
      <c r="F3" s="14" t="s">
        <v>72</v>
      </c>
      <c r="G3" s="21">
        <v>3525</v>
      </c>
    </row>
    <row r="4" spans="1:7" x14ac:dyDescent="0.25">
      <c r="A4" t="s">
        <v>16</v>
      </c>
      <c r="B4" s="9">
        <f>ROUND($G$1*1.06,0)</f>
        <v>4611</v>
      </c>
      <c r="C4" s="9">
        <f>ROUND($G$2*1.06,0)</f>
        <v>12190</v>
      </c>
      <c r="D4" s="9">
        <f>ROUND($G$3*1.06,0)</f>
        <v>3737</v>
      </c>
    </row>
    <row r="5" spans="1:7" x14ac:dyDescent="0.25">
      <c r="A5" t="s">
        <v>15</v>
      </c>
      <c r="B5" s="9">
        <f>ROUND($G$1*1,0)</f>
        <v>4350</v>
      </c>
      <c r="C5" s="9">
        <f>ROUND($G$2*1,0)</f>
        <v>11500</v>
      </c>
      <c r="D5" s="9">
        <f>ROUND($G$3*1,0)</f>
        <v>3525</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workbookViewId="0">
      <selection activeCell="M5" sqref="M5"/>
    </sheetView>
  </sheetViews>
  <sheetFormatPr defaultRowHeight="15" x14ac:dyDescent="0.25"/>
  <cols>
    <col min="1" max="1" width="9.140625" style="6"/>
    <col min="2" max="2" width="13.140625" style="18" customWidth="1"/>
    <col min="3" max="3" width="9.140625" style="9"/>
    <col min="7" max="7" width="10.140625" style="6" customWidth="1"/>
    <col min="8" max="8" width="10.140625" style="18" customWidth="1"/>
    <col min="9" max="9" width="9.140625" style="9"/>
    <col min="14" max="14" width="26.5703125" bestFit="1" customWidth="1"/>
  </cols>
  <sheetData>
    <row r="1" spans="1:15" ht="22.5" customHeight="1" x14ac:dyDescent="0.25">
      <c r="A1" s="6" t="s">
        <v>24</v>
      </c>
      <c r="B1" s="18" t="s">
        <v>20</v>
      </c>
      <c r="C1" s="9" t="s">
        <v>1</v>
      </c>
      <c r="G1" s="6" t="s">
        <v>28</v>
      </c>
      <c r="H1" s="18" t="s">
        <v>34</v>
      </c>
      <c r="I1" s="9" t="s">
        <v>1</v>
      </c>
      <c r="N1" s="15" t="s">
        <v>72</v>
      </c>
      <c r="O1" s="16">
        <v>3525</v>
      </c>
    </row>
    <row r="2" spans="1:15" x14ac:dyDescent="0.25">
      <c r="A2" s="6" t="s">
        <v>25</v>
      </c>
      <c r="B2" s="18">
        <v>0.7</v>
      </c>
      <c r="C2" s="9">
        <f t="shared" ref="C2:C4" si="0">ROUND($O$1*$B2, 0)</f>
        <v>2468</v>
      </c>
      <c r="G2" s="6" t="s">
        <v>29</v>
      </c>
      <c r="H2" s="18">
        <v>0.75</v>
      </c>
      <c r="I2" s="9">
        <f t="shared" ref="I2:I6" si="1">ROUND($O$1*$H2,0)</f>
        <v>2644</v>
      </c>
    </row>
    <row r="3" spans="1:15" x14ac:dyDescent="0.25">
      <c r="A3" s="6" t="s">
        <v>26</v>
      </c>
      <c r="B3" s="18">
        <v>0.27</v>
      </c>
      <c r="C3" s="9">
        <f t="shared" si="0"/>
        <v>952</v>
      </c>
      <c r="G3" s="6" t="s">
        <v>30</v>
      </c>
      <c r="H3" s="18">
        <v>0.1</v>
      </c>
      <c r="I3" s="9">
        <f t="shared" si="1"/>
        <v>353</v>
      </c>
    </row>
    <row r="4" spans="1:15" x14ac:dyDescent="0.25">
      <c r="A4" s="6" t="s">
        <v>27</v>
      </c>
      <c r="B4" s="18">
        <v>0.03</v>
      </c>
      <c r="C4" s="9">
        <f t="shared" si="0"/>
        <v>106</v>
      </c>
      <c r="G4" s="6" t="s">
        <v>31</v>
      </c>
      <c r="H4" s="18">
        <v>0.05</v>
      </c>
      <c r="I4" s="9">
        <f t="shared" si="1"/>
        <v>176</v>
      </c>
    </row>
    <row r="5" spans="1:15" x14ac:dyDescent="0.25">
      <c r="G5" s="6" t="s">
        <v>32</v>
      </c>
      <c r="H5" s="18">
        <v>0.03</v>
      </c>
      <c r="I5" s="9">
        <f t="shared" si="1"/>
        <v>106</v>
      </c>
    </row>
    <row r="6" spans="1:15" x14ac:dyDescent="0.25">
      <c r="G6" s="6" t="s">
        <v>33</v>
      </c>
      <c r="H6" s="18">
        <v>7.0000000000000007E-2</v>
      </c>
      <c r="I6" s="9">
        <f t="shared" si="1"/>
        <v>247</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F12" sqref="F12"/>
    </sheetView>
  </sheetViews>
  <sheetFormatPr defaultRowHeight="15" x14ac:dyDescent="0.25"/>
  <cols>
    <col min="1" max="1" width="17.7109375" style="6" customWidth="1"/>
    <col min="2" max="2" width="10.42578125" style="9" customWidth="1"/>
    <col min="3" max="3" width="18.5703125" style="2" customWidth="1"/>
    <col min="4" max="4" width="16" style="9" customWidth="1"/>
    <col min="5" max="5" width="14.85546875" style="5" customWidth="1"/>
  </cols>
  <sheetData>
    <row r="1" spans="1:5" ht="21.75" customHeight="1" x14ac:dyDescent="0.25">
      <c r="A1" s="6" t="s">
        <v>35</v>
      </c>
      <c r="B1" s="9" t="s">
        <v>38</v>
      </c>
      <c r="C1" s="2" t="s">
        <v>73</v>
      </c>
      <c r="D1" s="9" t="s">
        <v>74</v>
      </c>
      <c r="E1" s="5" t="s">
        <v>39</v>
      </c>
    </row>
    <row r="2" spans="1:5" x14ac:dyDescent="0.25">
      <c r="A2" s="6" t="s">
        <v>36</v>
      </c>
      <c r="B2" s="9">
        <v>450</v>
      </c>
      <c r="C2" s="2">
        <f>$B2/$B$2</f>
        <v>1</v>
      </c>
      <c r="D2" s="9" t="s">
        <v>76</v>
      </c>
      <c r="E2" s="5" t="s">
        <v>76</v>
      </c>
    </row>
    <row r="3" spans="1:5" x14ac:dyDescent="0.25">
      <c r="A3" s="6" t="s">
        <v>7</v>
      </c>
      <c r="B3" s="9">
        <v>160</v>
      </c>
      <c r="C3" s="2">
        <f t="shared" ref="C3:C4" si="0">$B3/$B$2</f>
        <v>0.35555555555555557</v>
      </c>
      <c r="D3" s="9">
        <f>$B2-$B3</f>
        <v>290</v>
      </c>
      <c r="E3" s="5">
        <f>$D3/$B2</f>
        <v>0.64444444444444449</v>
      </c>
    </row>
    <row r="4" spans="1:5" x14ac:dyDescent="0.25">
      <c r="A4" s="6" t="s">
        <v>37</v>
      </c>
      <c r="B4" s="9">
        <v>60</v>
      </c>
      <c r="C4" s="2">
        <f t="shared" si="0"/>
        <v>0.13333333333333333</v>
      </c>
      <c r="D4" s="9">
        <f>$B3-$B4</f>
        <v>100</v>
      </c>
      <c r="E4" s="5">
        <f>$D4/$B3</f>
        <v>0.625</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10" workbookViewId="0">
      <selection activeCell="B6" sqref="B6"/>
    </sheetView>
  </sheetViews>
  <sheetFormatPr defaultRowHeight="15" x14ac:dyDescent="0.25"/>
  <cols>
    <col min="1" max="1" width="19.42578125" customWidth="1"/>
    <col min="2" max="2" width="16" customWidth="1"/>
    <col min="3" max="3" width="17" style="4" customWidth="1"/>
    <col min="4" max="4" width="17.42578125" customWidth="1"/>
    <col min="5" max="5" width="17" customWidth="1"/>
  </cols>
  <sheetData>
    <row r="1" spans="1:7" ht="23.25" customHeight="1" x14ac:dyDescent="0.25">
      <c r="A1" t="s">
        <v>40</v>
      </c>
      <c r="B1" t="s">
        <v>61</v>
      </c>
      <c r="C1" s="4" t="s">
        <v>62</v>
      </c>
      <c r="D1" t="s">
        <v>63</v>
      </c>
      <c r="E1" t="s">
        <v>64</v>
      </c>
      <c r="F1" t="s">
        <v>65</v>
      </c>
      <c r="G1" t="s">
        <v>66</v>
      </c>
    </row>
    <row r="2" spans="1:7" x14ac:dyDescent="0.25">
      <c r="A2" t="s">
        <v>6</v>
      </c>
      <c r="B2" s="8">
        <v>0.56499999999999995</v>
      </c>
      <c r="C2" s="8">
        <v>0.4</v>
      </c>
      <c r="D2" s="8">
        <v>0.5</v>
      </c>
      <c r="E2" s="8">
        <f>( $D2+$C2 )/2</f>
        <v>0.45</v>
      </c>
      <c r="F2" s="8">
        <f xml:space="preserve"> $B2-$E2</f>
        <v>0.11499999999999994</v>
      </c>
      <c r="G2" t="s">
        <v>67</v>
      </c>
    </row>
    <row r="3" spans="1:7" x14ac:dyDescent="0.25">
      <c r="A3" t="s">
        <v>5</v>
      </c>
      <c r="B3">
        <v>105</v>
      </c>
      <c r="C3" s="4">
        <v>150</v>
      </c>
      <c r="D3">
        <v>210</v>
      </c>
      <c r="E3">
        <f t="shared" ref="E3:E10" si="0">( $D3+$C3 )/2</f>
        <v>180</v>
      </c>
      <c r="F3" s="4">
        <f t="shared" ref="F3:F10" si="1" xml:space="preserve"> $B3-$E3</f>
        <v>-75</v>
      </c>
      <c r="G3" t="s">
        <v>67</v>
      </c>
    </row>
    <row r="4" spans="1:7" x14ac:dyDescent="0.25">
      <c r="A4" t="s">
        <v>60</v>
      </c>
      <c r="B4">
        <v>2.64</v>
      </c>
      <c r="C4" s="4">
        <v>3.5</v>
      </c>
      <c r="D4">
        <v>5</v>
      </c>
      <c r="E4">
        <f t="shared" si="0"/>
        <v>4.25</v>
      </c>
      <c r="F4" s="4">
        <f t="shared" si="1"/>
        <v>-1.6099999999999999</v>
      </c>
      <c r="G4" t="s">
        <v>67</v>
      </c>
    </row>
    <row r="5" spans="1:7" x14ac:dyDescent="0.25">
      <c r="A5" t="s">
        <v>44</v>
      </c>
      <c r="B5" s="2">
        <v>0.88500000000000001</v>
      </c>
      <c r="C5" s="8">
        <v>0.6</v>
      </c>
      <c r="D5" s="8">
        <v>0.75</v>
      </c>
      <c r="E5" s="8">
        <f t="shared" si="0"/>
        <v>0.67500000000000004</v>
      </c>
      <c r="F5" s="8">
        <f t="shared" si="1"/>
        <v>0.20999999999999996</v>
      </c>
      <c r="G5" t="s">
        <v>68</v>
      </c>
    </row>
    <row r="6" spans="1:7" x14ac:dyDescent="0.25">
      <c r="A6" t="s">
        <v>43</v>
      </c>
      <c r="B6" s="8">
        <v>0.7</v>
      </c>
      <c r="C6" s="8">
        <v>0.55000000000000004</v>
      </c>
      <c r="D6" s="8">
        <v>0.65</v>
      </c>
      <c r="E6" s="8">
        <f t="shared" si="0"/>
        <v>0.60000000000000009</v>
      </c>
      <c r="F6" s="8">
        <f t="shared" si="1"/>
        <v>9.9999999999999867E-2</v>
      </c>
      <c r="G6" t="s">
        <v>68</v>
      </c>
    </row>
    <row r="7" spans="1:7" x14ac:dyDescent="0.25">
      <c r="A7" t="s">
        <v>45</v>
      </c>
      <c r="B7" s="8">
        <v>0.45</v>
      </c>
      <c r="C7" s="8">
        <v>0.35</v>
      </c>
      <c r="D7" s="8">
        <v>0.5</v>
      </c>
      <c r="E7" s="8">
        <f t="shared" si="0"/>
        <v>0.42499999999999999</v>
      </c>
      <c r="F7" s="8">
        <f t="shared" si="1"/>
        <v>2.5000000000000022E-2</v>
      </c>
      <c r="G7" t="s">
        <v>69</v>
      </c>
    </row>
    <row r="8" spans="1:7" x14ac:dyDescent="0.25">
      <c r="A8" t="s">
        <v>46</v>
      </c>
      <c r="B8" s="8">
        <v>3.6799999999999999E-2</v>
      </c>
      <c r="C8" s="8">
        <v>0.05</v>
      </c>
      <c r="D8" s="8">
        <v>0.08</v>
      </c>
      <c r="E8" s="8">
        <f t="shared" si="0"/>
        <v>6.5000000000000002E-2</v>
      </c>
      <c r="F8" s="8">
        <f t="shared" si="1"/>
        <v>-2.8200000000000003E-2</v>
      </c>
      <c r="G8" t="s">
        <v>67</v>
      </c>
    </row>
    <row r="9" spans="1:7" x14ac:dyDescent="0.25">
      <c r="A9" t="s">
        <v>47</v>
      </c>
      <c r="B9" s="8">
        <v>0.185</v>
      </c>
      <c r="C9" s="8">
        <v>0.15</v>
      </c>
      <c r="D9" s="8">
        <v>0.25</v>
      </c>
      <c r="E9" s="8">
        <f t="shared" si="0"/>
        <v>0.2</v>
      </c>
      <c r="F9" s="8">
        <f t="shared" si="1"/>
        <v>-1.5000000000000013E-2</v>
      </c>
      <c r="G9" t="s">
        <v>69</v>
      </c>
    </row>
    <row r="10" spans="1:7" x14ac:dyDescent="0.25">
      <c r="A10" t="s">
        <v>48</v>
      </c>
      <c r="B10" s="8">
        <v>1.38E-2</v>
      </c>
      <c r="C10" s="8">
        <v>0.02</v>
      </c>
      <c r="D10" s="8">
        <v>0.04</v>
      </c>
      <c r="E10" s="8">
        <f t="shared" si="0"/>
        <v>0.03</v>
      </c>
      <c r="F10" s="8">
        <f t="shared" si="1"/>
        <v>-1.6199999999999999E-2</v>
      </c>
      <c r="G10" t="s">
        <v>67</v>
      </c>
    </row>
  </sheetData>
  <conditionalFormatting sqref="G1:G1048576">
    <cfRule type="containsText" dxfId="4" priority="1" operator="containsText" text="Below">
      <formula>NOT(ISERROR(SEARCH("Below",G1)))</formula>
    </cfRule>
    <cfRule type="containsText" dxfId="3" priority="2" operator="containsText" text="Watch">
      <formula>NOT(ISERROR(SEARCH("Watch",G1)))</formula>
    </cfRule>
    <cfRule type="containsText" dxfId="2" priority="3" operator="containsText" text="Good">
      <formula>NOT(ISERROR(SEARCH("Good",G1)))</formula>
    </cfRule>
  </conditionalFormatting>
  <pageMargins left="0.7" right="0.7" top="0.75" bottom="0.75" header="0.3" footer="0.3"/>
  <pageSetup orientation="portrait" r:id="rId1"/>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AJ10"/>
  <sheetViews>
    <sheetView showGridLines="0" tabSelected="1" topLeftCell="A40" zoomScaleNormal="100" workbookViewId="0">
      <selection activeCell="BK12" sqref="BK12"/>
    </sheetView>
  </sheetViews>
  <sheetFormatPr defaultColWidth="2.7109375" defaultRowHeight="15" x14ac:dyDescent="0.25"/>
  <cols>
    <col min="1" max="16384" width="2.7109375" style="17"/>
  </cols>
  <sheetData>
    <row r="1" spans="1:36" x14ac:dyDescent="0.25">
      <c r="A1" s="22" t="s">
        <v>77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row>
    <row r="2" spans="1:36"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row>
    <row r="3" spans="1:36" x14ac:dyDescent="0.25">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row>
    <row r="4" spans="1:36" x14ac:dyDescent="0.25">
      <c r="A4" s="24" t="s">
        <v>78</v>
      </c>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row>
    <row r="5" spans="1:36" ht="15.75" thickBot="1" x14ac:dyDescent="0.3"/>
    <row r="6" spans="1:36" x14ac:dyDescent="0.25">
      <c r="B6" s="26"/>
      <c r="C6" s="27"/>
      <c r="D6" s="27"/>
      <c r="E6" s="27"/>
      <c r="F6" s="27"/>
      <c r="G6" s="27"/>
      <c r="H6" s="28"/>
      <c r="J6" s="35"/>
      <c r="K6" s="36"/>
      <c r="L6" s="36"/>
      <c r="M6" s="36"/>
      <c r="N6" s="36"/>
      <c r="O6" s="36"/>
      <c r="P6" s="37"/>
      <c r="R6" s="44"/>
      <c r="S6" s="45"/>
      <c r="T6" s="45"/>
      <c r="U6" s="45"/>
      <c r="V6" s="45"/>
      <c r="W6" s="45"/>
      <c r="X6" s="46"/>
      <c r="Z6" s="52"/>
      <c r="AA6" s="53"/>
      <c r="AB6" s="53"/>
      <c r="AC6" s="53"/>
      <c r="AD6" s="53"/>
      <c r="AE6" s="53"/>
      <c r="AF6" s="54"/>
    </row>
    <row r="7" spans="1:36" x14ac:dyDescent="0.25">
      <c r="B7" s="29"/>
      <c r="C7" s="30"/>
      <c r="D7" s="30"/>
      <c r="E7" s="30"/>
      <c r="F7" s="30"/>
      <c r="G7" s="30"/>
      <c r="H7" s="31"/>
      <c r="J7" s="38"/>
      <c r="K7" s="39"/>
      <c r="L7" s="39"/>
      <c r="M7" s="39"/>
      <c r="N7" s="39"/>
      <c r="O7" s="39"/>
      <c r="P7" s="40"/>
      <c r="R7" s="47"/>
      <c r="S7" s="39"/>
      <c r="T7" s="39"/>
      <c r="U7" s="39"/>
      <c r="V7" s="39"/>
      <c r="W7" s="39"/>
      <c r="X7" s="48"/>
      <c r="Z7" s="55"/>
      <c r="AA7" s="39"/>
      <c r="AB7" s="39"/>
      <c r="AC7" s="39"/>
      <c r="AD7" s="39"/>
      <c r="AE7" s="39"/>
      <c r="AF7" s="56"/>
    </row>
    <row r="8" spans="1:36" x14ac:dyDescent="0.25">
      <c r="B8" s="29"/>
      <c r="C8" s="30"/>
      <c r="D8" s="30"/>
      <c r="E8" s="30"/>
      <c r="F8" s="30"/>
      <c r="G8" s="30"/>
      <c r="H8" s="31"/>
      <c r="J8" s="38"/>
      <c r="K8" s="39"/>
      <c r="L8" s="39"/>
      <c r="M8" s="39"/>
      <c r="N8" s="39"/>
      <c r="O8" s="39"/>
      <c r="P8" s="40"/>
      <c r="R8" s="47"/>
      <c r="S8" s="39"/>
      <c r="T8" s="39"/>
      <c r="U8" s="39"/>
      <c r="V8" s="39"/>
      <c r="W8" s="39"/>
      <c r="X8" s="48"/>
      <c r="Z8" s="55"/>
      <c r="AA8" s="39"/>
      <c r="AB8" s="39"/>
      <c r="AC8" s="39"/>
      <c r="AD8" s="39"/>
      <c r="AE8" s="39"/>
      <c r="AF8" s="56"/>
    </row>
    <row r="9" spans="1:36" x14ac:dyDescent="0.25">
      <c r="B9" s="29"/>
      <c r="C9" s="30"/>
      <c r="D9" s="30"/>
      <c r="E9" s="30"/>
      <c r="F9" s="30"/>
      <c r="G9" s="30"/>
      <c r="H9" s="31"/>
      <c r="J9" s="38"/>
      <c r="K9" s="39"/>
      <c r="L9" s="39"/>
      <c r="M9" s="39"/>
      <c r="N9" s="39"/>
      <c r="O9" s="39"/>
      <c r="P9" s="40"/>
      <c r="R9" s="47"/>
      <c r="S9" s="39"/>
      <c r="T9" s="39"/>
      <c r="U9" s="39"/>
      <c r="V9" s="39"/>
      <c r="W9" s="39"/>
      <c r="X9" s="48"/>
      <c r="Z9" s="55"/>
      <c r="AA9" s="39"/>
      <c r="AB9" s="39"/>
      <c r="AC9" s="39"/>
      <c r="AD9" s="39"/>
      <c r="AE9" s="39"/>
      <c r="AF9" s="56"/>
    </row>
    <row r="10" spans="1:36" ht="15.75" thickBot="1" x14ac:dyDescent="0.3">
      <c r="B10" s="32"/>
      <c r="C10" s="33"/>
      <c r="D10" s="33"/>
      <c r="E10" s="33"/>
      <c r="F10" s="33"/>
      <c r="G10" s="33"/>
      <c r="H10" s="34"/>
      <c r="J10" s="41"/>
      <c r="K10" s="42"/>
      <c r="L10" s="42"/>
      <c r="M10" s="42"/>
      <c r="N10" s="42"/>
      <c r="O10" s="42"/>
      <c r="P10" s="43"/>
      <c r="R10" s="49"/>
      <c r="S10" s="50"/>
      <c r="T10" s="50"/>
      <c r="U10" s="50"/>
      <c r="V10" s="50"/>
      <c r="W10" s="50"/>
      <c r="X10" s="51"/>
      <c r="Z10" s="57"/>
      <c r="AA10" s="58"/>
      <c r="AB10" s="58"/>
      <c r="AC10" s="58"/>
      <c r="AD10" s="58"/>
      <c r="AE10" s="58"/>
      <c r="AF10" s="59"/>
    </row>
  </sheetData>
  <mergeCells count="6">
    <mergeCell ref="A1:AJ3"/>
    <mergeCell ref="A4:AJ4"/>
    <mergeCell ref="B6:H10"/>
    <mergeCell ref="J6:P10"/>
    <mergeCell ref="R6:X10"/>
    <mergeCell ref="Z6:AF10"/>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Traffic Sources</vt:lpstr>
      <vt:lpstr>Traffic Trends</vt:lpstr>
      <vt:lpstr>Device &amp; Geo</vt:lpstr>
      <vt:lpstr>Conversions</vt:lpstr>
      <vt:lpstr>Benchmarks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2026-03-31T09:13:49Z</dcterms:created>
  <dcterms:modified xsi:type="dcterms:W3CDTF">2026-04-02T14:20:53Z</dcterms:modified>
</cp:coreProperties>
</file>