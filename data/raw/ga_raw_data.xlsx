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physical science\4th year\Internship\Task 13\career-page-traffic-analysis\data\raw\"/>
    </mc:Choice>
  </mc:AlternateContent>
  <bookViews>
    <workbookView xWindow="0" yWindow="0" windowWidth="9465" windowHeight="6960" tabRatio="500" activeTab="2"/>
  </bookViews>
  <sheets>
    <sheet name="Overview &amp; Methodology" sheetId="1" r:id="rId1"/>
    <sheet name="Raw Data" sheetId="2" r:id="rId2"/>
    <sheet name="Processed Data &amp; KPIs" sheetId="3" r:id="rId3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7" i="3" l="1"/>
  <c r="E17" i="3" s="1"/>
  <c r="D16" i="3"/>
  <c r="B24" i="3" s="1"/>
  <c r="C24" i="3" s="1"/>
  <c r="D15" i="3"/>
  <c r="E15" i="3" s="1"/>
  <c r="D10" i="3"/>
  <c r="D9" i="3"/>
  <c r="D8" i="3"/>
  <c r="D7" i="3"/>
  <c r="B22" i="3" s="1"/>
  <c r="C22" i="3" s="1"/>
  <c r="D6" i="3"/>
  <c r="D5" i="3"/>
  <c r="E16" i="3" l="1"/>
  <c r="B23" i="3"/>
  <c r="C23" i="3" s="1"/>
  <c r="B25" i="3"/>
</calcChain>
</file>

<file path=xl/sharedStrings.xml><?xml version="1.0" encoding="utf-8"?>
<sst xmlns="http://schemas.openxmlformats.org/spreadsheetml/2006/main" count="120" uniqueCount="90">
  <si>
    <t>GAMAGE RECRUITERS – CAREER PAGE TRAFFIC ANALYSIS</t>
  </si>
  <si>
    <t>Google Analytics Sample Report | Analysis Period: Last 30 Days</t>
  </si>
  <si>
    <t>Project Title</t>
  </si>
  <si>
    <t>Career Page Traffic Analysis for Recruitment Optimization</t>
  </si>
  <si>
    <t>Company</t>
  </si>
  <si>
    <t>Gamage Recruiters (gamagerecruiters.lk)</t>
  </si>
  <si>
    <t>Data Source</t>
  </si>
  <si>
    <t>Google Analytics (sample data provided by supervisor)</t>
  </si>
  <si>
    <t>Analysis Period</t>
  </si>
  <si>
    <t>Last 30 Days (rolling)</t>
  </si>
  <si>
    <t>Prepared By</t>
  </si>
  <si>
    <t>Data Science Intern</t>
  </si>
  <si>
    <t>Report Date</t>
  </si>
  <si>
    <t>2025</t>
  </si>
  <si>
    <t>Tool Used</t>
  </si>
  <si>
    <t>Microsoft Excel / Python / Google Analytics</t>
  </si>
  <si>
    <t>METHODOLOGY</t>
  </si>
  <si>
    <t>Step 1 – Data Collection</t>
  </si>
  <si>
    <t>Google Analytics sample data provided by supervisor covering last 30 days of career page activity.</t>
  </si>
  <si>
    <t>Step 2 – Data Organisation</t>
  </si>
  <si>
    <t>Raw metrics organised into structured sheets: Traffic Overview, Traffic Sources, Device &amp; Geo, Conversions, and Calculated KPIs.</t>
  </si>
  <si>
    <t>Step 3 – KPI Calculation</t>
  </si>
  <si>
    <t>Midpoint values computed for ranges. Conversion rates, drop-off rates, and engagement scores derived using Excel formulas.</t>
  </si>
  <si>
    <t>Step 4 – Visualisation</t>
  </si>
  <si>
    <t>Charts created for traffic trends, source breakdown, device split, geographic distribution, and conversion funnel.</t>
  </si>
  <si>
    <t>Step 5 – Insight Derivation</t>
  </si>
  <si>
    <t>Patterns identified by comparing KPIs against industry benchmarks (bounce rate, session duration, conversion rate).</t>
  </si>
  <si>
    <t>Step 6 – Recommendations</t>
  </si>
  <si>
    <t>Practical, data-driven recommendations provided to improve candidate engagement and application rates.</t>
  </si>
  <si>
    <t>RAW GOOGLE ANALYTICS DATA – LAST 30 DAYS</t>
  </si>
  <si>
    <t>TRAFFIC OVERVIEW</t>
  </si>
  <si>
    <t>Metric</t>
  </si>
  <si>
    <t>Min Value</t>
  </si>
  <si>
    <t>Max Value</t>
  </si>
  <si>
    <t>Source</t>
  </si>
  <si>
    <t>Users</t>
  </si>
  <si>
    <t>Google Analytics</t>
  </si>
  <si>
    <t>New Users (%)</t>
  </si>
  <si>
    <t>Sessions</t>
  </si>
  <si>
    <t>Page Views</t>
  </si>
  <si>
    <t>Avg. Session Duration (sec)</t>
  </si>
  <si>
    <t>Bounce Rate (%)</t>
  </si>
  <si>
    <t>TRAFFIC SOURCES</t>
  </si>
  <si>
    <t>Share (%)</t>
  </si>
  <si>
    <t>Organic Search</t>
  </si>
  <si>
    <t>Direct Traffic</t>
  </si>
  <si>
    <t>Social Media</t>
  </si>
  <si>
    <t>Referral</t>
  </si>
  <si>
    <t>DEVICE BREAKDOWN</t>
  </si>
  <si>
    <t>Device Type</t>
  </si>
  <si>
    <t>Mobile</t>
  </si>
  <si>
    <t>Desktop</t>
  </si>
  <si>
    <t>Tablet</t>
  </si>
  <si>
    <t>GEOGRAPHIC DISTRIBUTION</t>
  </si>
  <si>
    <t>Country</t>
  </si>
  <si>
    <t>Sri Lanka</t>
  </si>
  <si>
    <t>India</t>
  </si>
  <si>
    <t>UAE</t>
  </si>
  <si>
    <t>Maldives</t>
  </si>
  <si>
    <t>Other</t>
  </si>
  <si>
    <t>CONVERSIONS</t>
  </si>
  <si>
    <t>CV Submissions</t>
  </si>
  <si>
    <t>Contact Form Submissions</t>
  </si>
  <si>
    <t>Apply Now Clicks</t>
  </si>
  <si>
    <t>PROCESSED DATA – MIDPOINTS &amp; CALCULATED KPIs</t>
  </si>
  <si>
    <t>TRAFFIC METRICS – MIDPOINT VALUES</t>
  </si>
  <si>
    <t>Min</t>
  </si>
  <si>
    <t>Max</t>
  </si>
  <si>
    <t>Midpoint (formula)</t>
  </si>
  <si>
    <t>Notes</t>
  </si>
  <si>
    <t>Total unique visitors</t>
  </si>
  <si>
    <t>High – mostly new audience</t>
  </si>
  <si>
    <t>Total visits including returns</t>
  </si>
  <si>
    <t>Total pages loaded</t>
  </si>
  <si>
    <t>~1 min 43 sec average</t>
  </si>
  <si>
    <t>Industry avg ~45% – above average</t>
  </si>
  <si>
    <t>CONVERSION KPIs</t>
  </si>
  <si>
    <t>KPI</t>
  </si>
  <si>
    <t>Midpoint</t>
  </si>
  <si>
    <t>Conversion Rate (%)</t>
  </si>
  <si>
    <t>CONVERSION FUNNEL DROP-OFF ANALYSIS</t>
  </si>
  <si>
    <t>Funnel Stage</t>
  </si>
  <si>
    <t>Midpoint Value</t>
  </si>
  <si>
    <t>Drop-off to Next (%)</t>
  </si>
  <si>
    <t>Sessions (Total)</t>
  </si>
  <si>
    <t>DATA NOTES</t>
  </si>
  <si>
    <t>• All midpoint values calculated as (Min + Max) / 2 using Excel formulas.</t>
  </si>
  <si>
    <t>• Conversion Rate = Midpoint conversions / Midpoint sessions × 100.</t>
  </si>
  <si>
    <t>• Session duration stored in seconds; 80s = 1m 20s, 130s = 2m 10s.</t>
  </si>
  <si>
    <t>• Source: Google Analytics sample data provided by supervisor (Gamage Recruiters).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</si>
</sst>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2"/>
      <color rgb="FFFFFFFF"/>
      <name val="Arial"/>
      <charset val="1"/>
    </font>
    <font>
      <b/>
      <sz val="13"/>
      <color rgb="FFFFFFFF"/>
      <name val="Arial"/>
      <charset val="1"/>
    </font>
    <font>
      <b/>
      <sz val="10"/>
      <color rgb="FF1F3864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C00000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F2F2F2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DEEAF1"/>
      </patternFill>
    </fill>
    <fill>
      <patternFill patternType="solid">
        <fgColor rgb="FF595959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2" fillId="7" borderId="0" xfId="0" applyFont="1" applyFill="1" applyBorder="1" applyAlignment="1">
      <alignment horizontal="left" vertical="center"/>
    </xf>
    <xf numFmtId="0" fontId="11" fillId="8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0" fillId="0" borderId="0" xfId="0" applyBorder="1" applyAlignment="1"/>
    <xf numFmtId="0" fontId="2" fillId="3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Alignment="1"/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2" fontId="7" fillId="5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2" fontId="10" fillId="6" borderId="1" xfId="0" applyNumberFormat="1" applyFont="1" applyFill="1" applyBorder="1" applyAlignment="1">
      <alignment horizontal="center" vertical="center"/>
    </xf>
    <xf numFmtId="0" fontId="0" fillId="0" borderId="1" xfId="0" applyBorder="1" applyAlignment="1"/>
    <xf numFmtId="0" fontId="9" fillId="7" borderId="1" xfId="0" applyFont="1" applyFill="1" applyBorder="1" applyAlignment="1">
      <alignment horizontal="center" vertical="center"/>
    </xf>
    <xf numFmtId="10" fontId="10" fillId="7" borderId="1" xfId="0" applyNumberFormat="1" applyFont="1" applyFill="1" applyBorder="1" applyAlignment="1">
      <alignment horizontal="center" vertical="center"/>
    </xf>
    <xf numFmtId="10" fontId="10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showGridLines="0" topLeftCell="A13" zoomScaleNormal="100" workbookViewId="0">
      <selection sqref="A1:C1"/>
    </sheetView>
  </sheetViews>
  <sheetFormatPr defaultColWidth="8.7109375" defaultRowHeight="15" x14ac:dyDescent="0.25"/>
  <cols>
    <col min="1" max="1" width="28" style="9" customWidth="1"/>
    <col min="2" max="2" width="55" style="9" customWidth="1"/>
    <col min="3" max="3" width="57.42578125" style="9" customWidth="1"/>
  </cols>
  <sheetData>
    <row r="1" spans="1:3" ht="36" customHeight="1" x14ac:dyDescent="0.25">
      <c r="A1" s="8" t="s">
        <v>0</v>
      </c>
      <c r="B1" s="8"/>
      <c r="C1" s="8"/>
    </row>
    <row r="2" spans="1:3" ht="21.75" customHeight="1" x14ac:dyDescent="0.25">
      <c r="A2" s="7" t="s">
        <v>1</v>
      </c>
      <c r="B2" s="7"/>
      <c r="C2" s="7"/>
    </row>
    <row r="3" spans="1:3" ht="7.5" customHeight="1" x14ac:dyDescent="0.25">
      <c r="A3" s="6"/>
      <c r="B3" s="6"/>
      <c r="C3" s="6"/>
    </row>
    <row r="4" spans="1:3" ht="19.5" customHeight="1" x14ac:dyDescent="0.25">
      <c r="A4" s="10" t="s">
        <v>2</v>
      </c>
      <c r="B4" s="5" t="s">
        <v>3</v>
      </c>
      <c r="C4" s="5"/>
    </row>
    <row r="5" spans="1:3" ht="19.5" customHeight="1" x14ac:dyDescent="0.25">
      <c r="A5" s="10" t="s">
        <v>4</v>
      </c>
      <c r="B5" s="5" t="s">
        <v>5</v>
      </c>
      <c r="C5" s="5"/>
    </row>
    <row r="6" spans="1:3" ht="19.5" customHeight="1" x14ac:dyDescent="0.25">
      <c r="A6" s="10" t="s">
        <v>6</v>
      </c>
      <c r="B6" s="5" t="s">
        <v>7</v>
      </c>
      <c r="C6" s="5"/>
    </row>
    <row r="7" spans="1:3" ht="19.5" customHeight="1" x14ac:dyDescent="0.25">
      <c r="A7" s="10" t="s">
        <v>8</v>
      </c>
      <c r="B7" s="5" t="s">
        <v>9</v>
      </c>
      <c r="C7" s="5"/>
    </row>
    <row r="8" spans="1:3" ht="19.5" customHeight="1" x14ac:dyDescent="0.25">
      <c r="A8" s="10" t="s">
        <v>10</v>
      </c>
      <c r="B8" s="5" t="s">
        <v>11</v>
      </c>
      <c r="C8" s="5"/>
    </row>
    <row r="9" spans="1:3" ht="19.5" customHeight="1" x14ac:dyDescent="0.25">
      <c r="A9" s="10" t="s">
        <v>12</v>
      </c>
      <c r="B9" s="5" t="s">
        <v>13</v>
      </c>
      <c r="C9" s="5"/>
    </row>
    <row r="10" spans="1:3" ht="19.5" customHeight="1" x14ac:dyDescent="0.25">
      <c r="A10" s="10" t="s">
        <v>14</v>
      </c>
      <c r="B10" s="5" t="s">
        <v>15</v>
      </c>
      <c r="C10" s="5"/>
    </row>
    <row r="12" spans="1:3" ht="25.5" customHeight="1" x14ac:dyDescent="0.25">
      <c r="A12" s="4" t="s">
        <v>16</v>
      </c>
      <c r="B12" s="4"/>
      <c r="C12" s="4"/>
    </row>
    <row r="13" spans="1:3" ht="31.5" customHeight="1" x14ac:dyDescent="0.25">
      <c r="A13" s="11" t="s">
        <v>17</v>
      </c>
      <c r="B13" s="5" t="s">
        <v>18</v>
      </c>
      <c r="C13" s="5"/>
    </row>
    <row r="14" spans="1:3" ht="31.5" customHeight="1" x14ac:dyDescent="0.25">
      <c r="A14" s="11" t="s">
        <v>19</v>
      </c>
      <c r="B14" s="5" t="s">
        <v>20</v>
      </c>
      <c r="C14" s="5"/>
    </row>
    <row r="15" spans="1:3" ht="31.5" customHeight="1" x14ac:dyDescent="0.25">
      <c r="A15" s="11" t="s">
        <v>21</v>
      </c>
      <c r="B15" s="5" t="s">
        <v>22</v>
      </c>
      <c r="C15" s="5"/>
    </row>
    <row r="16" spans="1:3" ht="31.5" customHeight="1" x14ac:dyDescent="0.25">
      <c r="A16" s="11" t="s">
        <v>23</v>
      </c>
      <c r="B16" s="5" t="s">
        <v>24</v>
      </c>
      <c r="C16" s="5"/>
    </row>
    <row r="17" spans="1:3" ht="31.5" customHeight="1" x14ac:dyDescent="0.25">
      <c r="A17" s="11" t="s">
        <v>25</v>
      </c>
      <c r="B17" s="5" t="s">
        <v>26</v>
      </c>
      <c r="C17" s="5"/>
    </row>
    <row r="18" spans="1:3" ht="31.5" customHeight="1" x14ac:dyDescent="0.25">
      <c r="A18" s="11" t="s">
        <v>27</v>
      </c>
      <c r="B18" s="5" t="s">
        <v>28</v>
      </c>
      <c r="C18" s="5"/>
    </row>
  </sheetData>
  <mergeCells count="17">
    <mergeCell ref="B17:C17"/>
    <mergeCell ref="B18:C18"/>
    <mergeCell ref="A12:C12"/>
    <mergeCell ref="B13:C13"/>
    <mergeCell ref="B14:C14"/>
    <mergeCell ref="B15:C15"/>
    <mergeCell ref="B16:C16"/>
    <mergeCell ref="B6:C6"/>
    <mergeCell ref="B7:C7"/>
    <mergeCell ref="B8:C8"/>
    <mergeCell ref="B9:C9"/>
    <mergeCell ref="B10:C10"/>
    <mergeCell ref="A1:C1"/>
    <mergeCell ref="A2:C2"/>
    <mergeCell ref="A3:C3"/>
    <mergeCell ref="B4:C4"/>
    <mergeCell ref="B5:C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topLeftCell="A28" zoomScaleNormal="100" workbookViewId="0">
      <selection sqref="A1:D1"/>
    </sheetView>
  </sheetViews>
  <sheetFormatPr defaultColWidth="8.7109375" defaultRowHeight="15" x14ac:dyDescent="0.25"/>
  <cols>
    <col min="1" max="1" width="30" style="9" customWidth="1"/>
    <col min="2" max="4" width="20" style="9" customWidth="1"/>
  </cols>
  <sheetData>
    <row r="1" spans="1:4" ht="31.5" customHeight="1" x14ac:dyDescent="0.25">
      <c r="A1" s="3" t="s">
        <v>29</v>
      </c>
      <c r="B1" s="3"/>
      <c r="C1" s="3"/>
      <c r="D1" s="3"/>
    </row>
    <row r="2" spans="1:4" ht="7.5" customHeight="1" x14ac:dyDescent="0.25"/>
    <row r="3" spans="1:4" ht="24" customHeight="1" x14ac:dyDescent="0.25">
      <c r="A3" s="7" t="s">
        <v>30</v>
      </c>
      <c r="B3" s="7"/>
      <c r="C3" s="7"/>
      <c r="D3" s="7"/>
    </row>
    <row r="4" spans="1:4" ht="19.5" customHeight="1" x14ac:dyDescent="0.25">
      <c r="A4" s="12" t="s">
        <v>31</v>
      </c>
      <c r="B4" s="12" t="s">
        <v>32</v>
      </c>
      <c r="C4" s="12" t="s">
        <v>33</v>
      </c>
      <c r="D4" s="12" t="s">
        <v>34</v>
      </c>
    </row>
    <row r="5" spans="1:4" ht="18" customHeight="1" x14ac:dyDescent="0.25">
      <c r="A5" s="13" t="s">
        <v>35</v>
      </c>
      <c r="B5" s="13">
        <v>2850</v>
      </c>
      <c r="C5" s="13">
        <v>4200</v>
      </c>
      <c r="D5" s="13" t="s">
        <v>36</v>
      </c>
    </row>
    <row r="6" spans="1:4" ht="18" customHeight="1" x14ac:dyDescent="0.25">
      <c r="A6" s="14" t="s">
        <v>37</v>
      </c>
      <c r="B6" s="14">
        <v>85</v>
      </c>
      <c r="C6" s="14">
        <v>92</v>
      </c>
      <c r="D6" s="14" t="s">
        <v>36</v>
      </c>
    </row>
    <row r="7" spans="1:4" ht="18" customHeight="1" x14ac:dyDescent="0.25">
      <c r="A7" s="13" t="s">
        <v>38</v>
      </c>
      <c r="B7" s="13">
        <v>3500</v>
      </c>
      <c r="C7" s="13">
        <v>5200</v>
      </c>
      <c r="D7" s="13" t="s">
        <v>36</v>
      </c>
    </row>
    <row r="8" spans="1:4" ht="18" customHeight="1" x14ac:dyDescent="0.25">
      <c r="A8" s="14" t="s">
        <v>39</v>
      </c>
      <c r="B8" s="14">
        <v>9000</v>
      </c>
      <c r="C8" s="14">
        <v>14000</v>
      </c>
      <c r="D8" s="14" t="s">
        <v>36</v>
      </c>
    </row>
    <row r="9" spans="1:4" ht="18" customHeight="1" x14ac:dyDescent="0.25">
      <c r="A9" s="13" t="s">
        <v>40</v>
      </c>
      <c r="B9" s="13">
        <v>80</v>
      </c>
      <c r="C9" s="13">
        <v>130</v>
      </c>
      <c r="D9" s="13" t="s">
        <v>36</v>
      </c>
    </row>
    <row r="10" spans="1:4" ht="18" customHeight="1" x14ac:dyDescent="0.25">
      <c r="A10" s="14" t="s">
        <v>41</v>
      </c>
      <c r="B10" s="14">
        <v>48</v>
      </c>
      <c r="C10" s="14">
        <v>65</v>
      </c>
      <c r="D10" s="14" t="s">
        <v>36</v>
      </c>
    </row>
    <row r="11" spans="1:4" ht="7.5" customHeight="1" x14ac:dyDescent="0.25"/>
    <row r="12" spans="1:4" ht="24" customHeight="1" x14ac:dyDescent="0.25">
      <c r="A12" s="7" t="s">
        <v>42</v>
      </c>
      <c r="B12" s="7"/>
      <c r="C12" s="7"/>
      <c r="D12" s="7"/>
    </row>
    <row r="13" spans="1:4" ht="19.5" customHeight="1" x14ac:dyDescent="0.25">
      <c r="A13" s="12" t="s">
        <v>34</v>
      </c>
      <c r="B13" s="12" t="s">
        <v>43</v>
      </c>
      <c r="C13" s="12"/>
      <c r="D13" s="12"/>
    </row>
    <row r="14" spans="1:4" ht="18" customHeight="1" x14ac:dyDescent="0.25">
      <c r="A14" s="13" t="s">
        <v>44</v>
      </c>
      <c r="B14" s="13">
        <v>45</v>
      </c>
      <c r="C14" s="13"/>
      <c r="D14" s="13"/>
    </row>
    <row r="15" spans="1:4" ht="18" customHeight="1" x14ac:dyDescent="0.25">
      <c r="A15" s="14" t="s">
        <v>45</v>
      </c>
      <c r="B15" s="14">
        <v>25</v>
      </c>
      <c r="C15" s="14"/>
      <c r="D15" s="14"/>
    </row>
    <row r="16" spans="1:4" ht="18" customHeight="1" x14ac:dyDescent="0.25">
      <c r="A16" s="13" t="s">
        <v>46</v>
      </c>
      <c r="B16" s="13">
        <v>20</v>
      </c>
      <c r="C16" s="13"/>
      <c r="D16" s="13"/>
    </row>
    <row r="17" spans="1:4" ht="18" customHeight="1" x14ac:dyDescent="0.25">
      <c r="A17" s="14" t="s">
        <v>47</v>
      </c>
      <c r="B17" s="14">
        <v>10</v>
      </c>
      <c r="C17" s="14"/>
      <c r="D17" s="14"/>
    </row>
    <row r="18" spans="1:4" ht="7.5" customHeight="1" x14ac:dyDescent="0.25"/>
    <row r="19" spans="1:4" ht="24" customHeight="1" x14ac:dyDescent="0.25">
      <c r="A19" s="7" t="s">
        <v>48</v>
      </c>
      <c r="B19" s="7"/>
      <c r="C19" s="7"/>
      <c r="D19" s="7"/>
    </row>
    <row r="20" spans="1:4" ht="19.5" customHeight="1" x14ac:dyDescent="0.25">
      <c r="A20" s="12" t="s">
        <v>49</v>
      </c>
      <c r="B20" s="12" t="s">
        <v>43</v>
      </c>
      <c r="C20" s="12"/>
      <c r="D20" s="12"/>
    </row>
    <row r="21" spans="1:4" ht="18" customHeight="1" x14ac:dyDescent="0.25">
      <c r="A21" s="13" t="s">
        <v>50</v>
      </c>
      <c r="B21" s="13">
        <v>70</v>
      </c>
      <c r="C21" s="13"/>
      <c r="D21" s="13"/>
    </row>
    <row r="22" spans="1:4" ht="18" customHeight="1" x14ac:dyDescent="0.25">
      <c r="A22" s="14" t="s">
        <v>51</v>
      </c>
      <c r="B22" s="14">
        <v>27</v>
      </c>
      <c r="C22" s="14"/>
      <c r="D22" s="14"/>
    </row>
    <row r="23" spans="1:4" ht="18" customHeight="1" x14ac:dyDescent="0.25">
      <c r="A23" s="13" t="s">
        <v>52</v>
      </c>
      <c r="B23" s="13">
        <v>3</v>
      </c>
      <c r="C23" s="13"/>
      <c r="D23" s="13"/>
    </row>
    <row r="24" spans="1:4" ht="7.5" customHeight="1" x14ac:dyDescent="0.25"/>
    <row r="25" spans="1:4" ht="24" customHeight="1" x14ac:dyDescent="0.25">
      <c r="A25" s="7" t="s">
        <v>53</v>
      </c>
      <c r="B25" s="7"/>
      <c r="C25" s="7"/>
      <c r="D25" s="7"/>
    </row>
    <row r="26" spans="1:4" ht="19.5" customHeight="1" x14ac:dyDescent="0.25">
      <c r="A26" s="12" t="s">
        <v>54</v>
      </c>
      <c r="B26" s="12" t="s">
        <v>43</v>
      </c>
      <c r="C26" s="12"/>
      <c r="D26" s="12"/>
    </row>
    <row r="27" spans="1:4" ht="18" customHeight="1" x14ac:dyDescent="0.25">
      <c r="A27" s="13" t="s">
        <v>55</v>
      </c>
      <c r="B27" s="13">
        <v>75</v>
      </c>
      <c r="C27" s="13"/>
      <c r="D27" s="13"/>
    </row>
    <row r="28" spans="1:4" ht="18" customHeight="1" x14ac:dyDescent="0.25">
      <c r="A28" s="14" t="s">
        <v>56</v>
      </c>
      <c r="B28" s="14">
        <v>10</v>
      </c>
      <c r="C28" s="14"/>
      <c r="D28" s="14"/>
    </row>
    <row r="29" spans="1:4" ht="18" customHeight="1" x14ac:dyDescent="0.25">
      <c r="A29" s="13" t="s">
        <v>57</v>
      </c>
      <c r="B29" s="13">
        <v>5</v>
      </c>
      <c r="C29" s="13"/>
      <c r="D29" s="13"/>
    </row>
    <row r="30" spans="1:4" ht="18" customHeight="1" x14ac:dyDescent="0.25">
      <c r="A30" s="14" t="s">
        <v>58</v>
      </c>
      <c r="B30" s="14">
        <v>3</v>
      </c>
      <c r="C30" s="14"/>
      <c r="D30" s="14"/>
    </row>
    <row r="31" spans="1:4" ht="18" customHeight="1" x14ac:dyDescent="0.25">
      <c r="A31" s="13" t="s">
        <v>59</v>
      </c>
      <c r="B31" s="13">
        <v>7</v>
      </c>
      <c r="C31" s="13"/>
      <c r="D31" s="13"/>
    </row>
    <row r="32" spans="1:4" ht="7.5" customHeight="1" x14ac:dyDescent="0.25"/>
    <row r="33" spans="1:4" ht="24" customHeight="1" x14ac:dyDescent="0.25">
      <c r="A33" s="7" t="s">
        <v>60</v>
      </c>
      <c r="B33" s="7"/>
      <c r="C33" s="7"/>
      <c r="D33" s="7"/>
    </row>
    <row r="34" spans="1:4" ht="19.5" customHeight="1" x14ac:dyDescent="0.25">
      <c r="A34" s="12" t="s">
        <v>31</v>
      </c>
      <c r="B34" s="12" t="s">
        <v>32</v>
      </c>
      <c r="C34" s="12" t="s">
        <v>33</v>
      </c>
      <c r="D34" s="12" t="s">
        <v>34</v>
      </c>
    </row>
    <row r="35" spans="1:4" ht="18" customHeight="1" x14ac:dyDescent="0.25">
      <c r="A35" s="13" t="s">
        <v>61</v>
      </c>
      <c r="B35" s="13">
        <v>120</v>
      </c>
      <c r="C35" s="13">
        <v>200</v>
      </c>
      <c r="D35" s="13" t="s">
        <v>36</v>
      </c>
    </row>
    <row r="36" spans="1:4" ht="18" customHeight="1" x14ac:dyDescent="0.25">
      <c r="A36" s="14" t="s">
        <v>62</v>
      </c>
      <c r="B36" s="14">
        <v>40</v>
      </c>
      <c r="C36" s="14">
        <v>80</v>
      </c>
      <c r="D36" s="14" t="s">
        <v>36</v>
      </c>
    </row>
    <row r="37" spans="1:4" ht="18" customHeight="1" x14ac:dyDescent="0.25">
      <c r="A37" s="13" t="s">
        <v>63</v>
      </c>
      <c r="B37" s="13">
        <v>300</v>
      </c>
      <c r="C37" s="13">
        <v>600</v>
      </c>
      <c r="D37" s="13" t="s">
        <v>36</v>
      </c>
    </row>
  </sheetData>
  <mergeCells count="6">
    <mergeCell ref="A33:D33"/>
    <mergeCell ref="A1:D1"/>
    <mergeCell ref="A3:D3"/>
    <mergeCell ref="A12:D12"/>
    <mergeCell ref="A19:D19"/>
    <mergeCell ref="A25:D2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showGridLines="0" tabSelected="1" zoomScaleNormal="100" workbookViewId="0">
      <selection activeCell="A31" sqref="A31:E31"/>
    </sheetView>
  </sheetViews>
  <sheetFormatPr defaultColWidth="8.7109375" defaultRowHeight="15" x14ac:dyDescent="0.25"/>
  <cols>
    <col min="1" max="1" width="32" style="9" customWidth="1"/>
    <col min="2" max="4" width="18" style="9" customWidth="1"/>
    <col min="5" max="5" width="37" style="9" customWidth="1"/>
  </cols>
  <sheetData>
    <row r="1" spans="1:5" ht="31.5" customHeight="1" x14ac:dyDescent="0.25">
      <c r="A1" s="3" t="s">
        <v>64</v>
      </c>
      <c r="B1" s="3"/>
      <c r="C1" s="3"/>
      <c r="D1" s="3"/>
      <c r="E1" s="3"/>
    </row>
    <row r="3" spans="1:5" ht="24" customHeight="1" x14ac:dyDescent="0.25">
      <c r="A3" s="7" t="s">
        <v>65</v>
      </c>
      <c r="B3" s="7"/>
      <c r="C3" s="7"/>
      <c r="D3" s="7"/>
      <c r="E3" s="7"/>
    </row>
    <row r="4" spans="1:5" ht="19.5" customHeight="1" x14ac:dyDescent="0.25">
      <c r="A4" s="12" t="s">
        <v>31</v>
      </c>
      <c r="B4" s="12" t="s">
        <v>66</v>
      </c>
      <c r="C4" s="12" t="s">
        <v>67</v>
      </c>
      <c r="D4" s="12" t="s">
        <v>68</v>
      </c>
      <c r="E4" s="12" t="s">
        <v>69</v>
      </c>
    </row>
    <row r="5" spans="1:5" ht="18" customHeight="1" x14ac:dyDescent="0.25">
      <c r="A5" s="15" t="s">
        <v>35</v>
      </c>
      <c r="B5" s="13">
        <v>2850</v>
      </c>
      <c r="C5" s="13">
        <v>4200</v>
      </c>
      <c r="D5" s="16">
        <f t="shared" ref="D5:D10" si="0">(B5+C5)/2</f>
        <v>3525</v>
      </c>
      <c r="E5" s="15" t="s">
        <v>70</v>
      </c>
    </row>
    <row r="6" spans="1:5" ht="18" customHeight="1" x14ac:dyDescent="0.25">
      <c r="A6" s="17" t="s">
        <v>37</v>
      </c>
      <c r="B6" s="14">
        <v>85</v>
      </c>
      <c r="C6" s="14">
        <v>92</v>
      </c>
      <c r="D6" s="16">
        <f t="shared" si="0"/>
        <v>88.5</v>
      </c>
      <c r="E6" s="17" t="s">
        <v>71</v>
      </c>
    </row>
    <row r="7" spans="1:5" ht="18" customHeight="1" x14ac:dyDescent="0.25">
      <c r="A7" s="15" t="s">
        <v>38</v>
      </c>
      <c r="B7" s="13">
        <v>3500</v>
      </c>
      <c r="C7" s="13">
        <v>5200</v>
      </c>
      <c r="D7" s="16">
        <f t="shared" si="0"/>
        <v>4350</v>
      </c>
      <c r="E7" s="15" t="s">
        <v>72</v>
      </c>
    </row>
    <row r="8" spans="1:5" ht="18" customHeight="1" x14ac:dyDescent="0.25">
      <c r="A8" s="17" t="s">
        <v>39</v>
      </c>
      <c r="B8" s="14">
        <v>9000</v>
      </c>
      <c r="C8" s="14">
        <v>14000</v>
      </c>
      <c r="D8" s="16">
        <f t="shared" si="0"/>
        <v>11500</v>
      </c>
      <c r="E8" s="17" t="s">
        <v>73</v>
      </c>
    </row>
    <row r="9" spans="1:5" ht="18" customHeight="1" x14ac:dyDescent="0.25">
      <c r="A9" s="15" t="s">
        <v>40</v>
      </c>
      <c r="B9" s="13">
        <v>80</v>
      </c>
      <c r="C9" s="13">
        <v>130</v>
      </c>
      <c r="D9" s="16">
        <f t="shared" si="0"/>
        <v>105</v>
      </c>
      <c r="E9" s="15" t="s">
        <v>74</v>
      </c>
    </row>
    <row r="10" spans="1:5" ht="18" customHeight="1" x14ac:dyDescent="0.25">
      <c r="A10" s="17" t="s">
        <v>41</v>
      </c>
      <c r="B10" s="14">
        <v>48</v>
      </c>
      <c r="C10" s="14">
        <v>65</v>
      </c>
      <c r="D10" s="16">
        <f t="shared" si="0"/>
        <v>56.5</v>
      </c>
      <c r="E10" s="17" t="s">
        <v>75</v>
      </c>
    </row>
    <row r="13" spans="1:5" ht="24" customHeight="1" x14ac:dyDescent="0.25">
      <c r="A13" s="7" t="s">
        <v>76</v>
      </c>
      <c r="B13" s="7"/>
      <c r="C13" s="7"/>
      <c r="D13" s="7"/>
      <c r="E13" s="7"/>
    </row>
    <row r="14" spans="1:5" ht="19.5" customHeight="1" x14ac:dyDescent="0.25">
      <c r="A14" s="12" t="s">
        <v>77</v>
      </c>
      <c r="B14" s="12" t="s">
        <v>66</v>
      </c>
      <c r="C14" s="12" t="s">
        <v>67</v>
      </c>
      <c r="D14" s="12" t="s">
        <v>78</v>
      </c>
      <c r="E14" s="12" t="s">
        <v>79</v>
      </c>
    </row>
    <row r="15" spans="1:5" ht="18" customHeight="1" x14ac:dyDescent="0.25">
      <c r="A15" s="15" t="s">
        <v>63</v>
      </c>
      <c r="B15" s="13">
        <v>300</v>
      </c>
      <c r="C15" s="13">
        <v>600</v>
      </c>
      <c r="D15" s="16">
        <f>(B15+C15)/2</f>
        <v>450</v>
      </c>
      <c r="E15" s="18">
        <f>IFERROR(D15/D7*100,0)</f>
        <v>10.344827586206897</v>
      </c>
    </row>
    <row r="16" spans="1:5" ht="18" customHeight="1" x14ac:dyDescent="0.25">
      <c r="A16" s="17" t="s">
        <v>61</v>
      </c>
      <c r="B16" s="14">
        <v>120</v>
      </c>
      <c r="C16" s="14">
        <v>200</v>
      </c>
      <c r="D16" s="16">
        <f>(B16+C16)/2</f>
        <v>160</v>
      </c>
      <c r="E16" s="18">
        <f>IFERROR(D16/D7*100,0)</f>
        <v>3.6781609195402298</v>
      </c>
    </row>
    <row r="17" spans="1:5" ht="18" customHeight="1" x14ac:dyDescent="0.25">
      <c r="A17" s="15" t="s">
        <v>62</v>
      </c>
      <c r="B17" s="13">
        <v>40</v>
      </c>
      <c r="C17" s="13">
        <v>80</v>
      </c>
      <c r="D17" s="16">
        <f>(B17+C17)/2</f>
        <v>60</v>
      </c>
      <c r="E17" s="18">
        <f>IFERROR(D17/D7*100,0)</f>
        <v>1.3793103448275863</v>
      </c>
    </row>
    <row r="20" spans="1:5" ht="24" customHeight="1" x14ac:dyDescent="0.25">
      <c r="A20" s="7" t="s">
        <v>80</v>
      </c>
      <c r="B20" s="7"/>
      <c r="C20" s="7"/>
      <c r="D20" s="7"/>
      <c r="E20" s="7"/>
    </row>
    <row r="21" spans="1:5" ht="19.5" customHeight="1" x14ac:dyDescent="0.25">
      <c r="A21" s="12" t="s">
        <v>81</v>
      </c>
      <c r="B21" s="12" t="s">
        <v>82</v>
      </c>
      <c r="C21" s="12" t="s">
        <v>83</v>
      </c>
      <c r="D21" s="12"/>
      <c r="E21" s="12"/>
    </row>
    <row r="22" spans="1:5" ht="18" customHeight="1" x14ac:dyDescent="0.25">
      <c r="A22" s="15" t="s">
        <v>84</v>
      </c>
      <c r="B22" s="19">
        <f>D7</f>
        <v>4350</v>
      </c>
      <c r="C22" s="20">
        <f>IFERROR((B22-D15)/B22*100,0)</f>
        <v>89.65517241379311</v>
      </c>
      <c r="D22" s="21"/>
      <c r="E22" s="21"/>
    </row>
    <row r="23" spans="1:5" ht="18" customHeight="1" x14ac:dyDescent="0.25">
      <c r="A23" s="17" t="s">
        <v>63</v>
      </c>
      <c r="B23" s="22">
        <f>D15</f>
        <v>450</v>
      </c>
      <c r="C23" s="23">
        <f>(B23-D16)/B23*100</f>
        <v>64.444444444444443</v>
      </c>
      <c r="D23" s="21"/>
      <c r="E23" s="21"/>
    </row>
    <row r="24" spans="1:5" ht="18" customHeight="1" x14ac:dyDescent="0.25">
      <c r="A24" s="15" t="s">
        <v>61</v>
      </c>
      <c r="B24" s="19">
        <f>D16</f>
        <v>160</v>
      </c>
      <c r="C24" s="24">
        <f>(B24-D17)/B24*100</f>
        <v>62.5</v>
      </c>
      <c r="D24" s="21"/>
      <c r="E24" s="21"/>
    </row>
    <row r="25" spans="1:5" ht="18" customHeight="1" x14ac:dyDescent="0.25">
      <c r="A25" s="17" t="s">
        <v>62</v>
      </c>
      <c r="B25" s="22">
        <f>D17</f>
        <v>60</v>
      </c>
      <c r="C25" s="21"/>
      <c r="D25" s="21"/>
      <c r="E25" s="21"/>
    </row>
    <row r="28" spans="1:5" ht="15" customHeight="1" x14ac:dyDescent="0.25">
      <c r="A28" s="2" t="s">
        <v>85</v>
      </c>
      <c r="B28" s="2"/>
      <c r="C28" s="2"/>
      <c r="D28" s="2"/>
      <c r="E28" s="2"/>
    </row>
    <row r="29" spans="1:5" ht="15.75" customHeight="1" x14ac:dyDescent="0.25">
      <c r="A29" s="1" t="s">
        <v>86</v>
      </c>
      <c r="B29" s="1"/>
      <c r="C29" s="1"/>
      <c r="D29" s="1"/>
      <c r="E29" s="1"/>
    </row>
    <row r="30" spans="1:5" ht="15.75" customHeight="1" x14ac:dyDescent="0.25">
      <c r="A30" s="1" t="s">
        <v>87</v>
      </c>
      <c r="B30" s="1"/>
      <c r="C30" s="1"/>
      <c r="D30" s="1"/>
      <c r="E30" s="1"/>
    </row>
    <row r="31" spans="1:5" ht="15.75" customHeight="1" x14ac:dyDescent="0.25">
      <c r="A31" s="1" t="s">
        <v>88</v>
      </c>
      <c r="B31" s="1"/>
      <c r="C31" s="1"/>
      <c r="D31" s="1"/>
      <c r="E31" s="1"/>
    </row>
    <row r="32" spans="1:5" ht="15.75" customHeight="1" x14ac:dyDescent="0.25">
      <c r="A32" s="1" t="s">
        <v>89</v>
      </c>
      <c r="B32" s="1"/>
      <c r="C32" s="1"/>
      <c r="D32" s="1"/>
      <c r="E32" s="1"/>
    </row>
  </sheetData>
  <mergeCells count="9">
    <mergeCell ref="A29:E29"/>
    <mergeCell ref="A30:E30"/>
    <mergeCell ref="A31:E31"/>
    <mergeCell ref="A32:E32"/>
    <mergeCell ref="A1:E1"/>
    <mergeCell ref="A3:E3"/>
    <mergeCell ref="A13:E13"/>
    <mergeCell ref="A20:E20"/>
    <mergeCell ref="A28:E2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 &amp; Methodology</vt:lpstr>
      <vt:lpstr>Raw Data</vt:lpstr>
      <vt:lpstr>Processed Data &amp; KPIs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</cp:lastModifiedBy>
  <cp:revision>0</cp:revision>
  <dcterms:created xsi:type="dcterms:W3CDTF">2026-03-24T06:35:34Z</dcterms:created>
  <dcterms:modified xsi:type="dcterms:W3CDTF">2026-03-24T06:42:27Z</dcterms:modified>
  <dc:language>en-US</dc:language>
</cp:coreProperties>
</file>